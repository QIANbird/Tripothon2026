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配音" sheetId="2" state="visible" r:id="rId2"/>
    <sheet name="音效" sheetId="3" state="visible" r:id="rId3"/>
    <sheet name="音乐与环境音" sheetId="4" state="visible" r:id="rId4"/>
    <sheet name="视频音轨" sheetId="5" state="visible" r:id="rId5"/>
  </sheets>
  <definedNames>
    <definedName name="_xlnm._FilterDatabase" localSheetId="1" hidden="1">'配音'!$A$1:$J$71</definedName>
    <definedName name="_xlnm._FilterDatabase" localSheetId="2" hidden="1">'音效'!$A$1:$K$59</definedName>
    <definedName name="_xlnm._FilterDatabase" localSheetId="3" hidden="1">'音乐与环境音'!$A$1:$J$10</definedName>
    <definedName name="_xlnm._FilterDatabase" localSheetId="4" hidden="1">'视频音轨'!$A$1:$F$4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sz val="14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2F3E4E"/>
      </patternFill>
    </fill>
    <fill>
      <patternFill patternType="solid">
        <fgColor rgb="00F2F2F2"/>
      </patternFill>
    </fill>
    <fill>
      <patternFill patternType="solid">
        <fgColor rgb="00E8F1FB"/>
      </patternFill>
    </fill>
    <fill>
      <patternFill patternType="solid">
        <fgColor rgb="00EAF4EA"/>
      </patternFill>
    </fill>
    <fill>
      <patternFill patternType="solid">
        <fgColor rgb="00FFF4E0"/>
      </patternFill>
    </fill>
    <fill>
      <patternFill patternType="solid">
        <fgColor rgb="00F3E9F7"/>
      </patternFill>
    </fill>
    <fill>
      <patternFill patternType="solid">
        <fgColor rgb="00FDEBEB"/>
      </patternFill>
    </fill>
    <fill>
      <patternFill patternType="solid">
        <fgColor rgb="00FFF9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5" fillId="0" borderId="0" pivotButton="0" quotePrefix="0" xfId="0"/>
    <xf numFmtId="0" fontId="6" fillId="0" borderId="0" pivotButton="0" quotePrefix="0" xfId="0"/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/>
    </xf>
    <xf numFmtId="0" fontId="2" fillId="9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《A Gift for Ghost》声音需求表</t>
        </is>
      </c>
    </row>
    <row r="2" ht="42" customHeight="1">
      <c r="A2" s="2" t="inlineStr">
        <is>
          <t>来源：docs/script/02_dialogue.csv（定稿台词表）、01_beats.csv（玩法表）和当前已实现的玩法。旧的 04_media_assets.csv 配音清单已过期，以本表为准。段落用颜色区分：INTRO 灰、TUT 蓝、S1 绿、S2 橙、S3 紫、S4 红、PICK 黄。</t>
        </is>
      </c>
    </row>
    <row r="3"/>
    <row r="4">
      <c r="A4" s="3" t="inlineStr">
        <is>
          <t>数量汇总（自动统计）</t>
        </is>
      </c>
    </row>
    <row r="5">
      <c r="A5" s="4" t="inlineStr">
        <is>
          <t>配音：台词条数</t>
        </is>
      </c>
      <c r="B5" s="4">
        <f>COUNTA('配音'!A2:A78)</f>
        <v/>
      </c>
    </row>
    <row r="6">
      <c r="A6" s="4" t="inlineStr">
        <is>
          <t>配音：需要录制</t>
        </is>
      </c>
      <c r="B6" s="4">
        <f>COUNTIF('配音'!G2:G78,"是")</f>
        <v/>
      </c>
    </row>
    <row r="7">
      <c r="A7" s="4" t="inlineStr">
        <is>
          <t xml:space="preserve">  其中 亲切的声音</t>
        </is>
      </c>
      <c r="B7" s="4">
        <f>COUNTIFS('配音'!C2:C78,"亲切的声音",'配音'!G2:G78,"是")</f>
        <v/>
      </c>
    </row>
    <row r="8">
      <c r="A8" s="4" t="inlineStr">
        <is>
          <t xml:space="preserve">  其中 没有温度的声音（Agent）</t>
        </is>
      </c>
      <c r="B8" s="4">
        <f>COUNTIFS('配音'!C2:C78,"没有温度的声音",'配音'!G2:G78,"是")</f>
        <v/>
      </c>
    </row>
    <row r="9">
      <c r="A9" s="4" t="inlineStr">
        <is>
          <t>配音：估算总时长（秒）</t>
        </is>
      </c>
      <c r="B9" s="4">
        <f>SUMIF('配音'!G2:G78,"是",'配音'!J2:J78)</f>
        <v/>
      </c>
    </row>
    <row r="10">
      <c r="A10" s="4" t="inlineStr">
        <is>
          <t>音效：条目数</t>
        </is>
      </c>
      <c r="B10" s="4">
        <f>COUNTA('音效'!A2:A59)</f>
        <v/>
      </c>
    </row>
    <row r="11">
      <c r="A11" s="4" t="inlineStr">
        <is>
          <t>音效：文件数（含变体）</t>
        </is>
      </c>
      <c r="B11" s="4">
        <f>SUM('音效'!I2:I59)</f>
        <v/>
      </c>
    </row>
    <row r="12">
      <c r="A12" s="4" t="inlineStr">
        <is>
          <t xml:space="preserve">  其中 P0 条目（必须）</t>
        </is>
      </c>
      <c r="B12" s="4">
        <f>COUNTIF('音效'!J2:J59,"P0")</f>
        <v/>
      </c>
    </row>
    <row r="13">
      <c r="A13" s="4" t="inlineStr">
        <is>
          <t xml:space="preserve">  其中 P1 条目（应该有）</t>
        </is>
      </c>
      <c r="B13" s="4">
        <f>COUNTIF('音效'!J2:J59,"P1")</f>
        <v/>
      </c>
    </row>
    <row r="14">
      <c r="A14" s="4" t="inlineStr">
        <is>
          <t xml:space="preserve">  其中 P2 条目（有时间再做）</t>
        </is>
      </c>
      <c r="B14" s="4">
        <f>COUNTIF('音效'!J2:J59,"P2")</f>
        <v/>
      </c>
    </row>
    <row r="15">
      <c r="A15" s="4" t="inlineStr">
        <is>
          <t>音乐与环境音：条目数</t>
        </is>
      </c>
      <c r="B15" s="4">
        <f>COUNTA('音乐与环境音'!A2:A10)</f>
        <v/>
      </c>
    </row>
    <row r="16">
      <c r="A16" s="4" t="inlineStr">
        <is>
          <t>视频音轨：条目数</t>
        </is>
      </c>
      <c r="B16" s="4">
        <f>COUNTA('视频音轨'!A2:A4)</f>
        <v/>
      </c>
    </row>
    <row r="17"/>
    <row r="18">
      <c r="A18" s="5" t="inlineStr">
        <is>
          <t>角色与声线</t>
        </is>
      </c>
    </row>
    <row r="19">
      <c r="A19" s="2" t="inlineStr">
        <is>
          <t>亲切的声音：温柔女声，显示在屏幕底部字幕。剧情上是治疗中心 / 关心你的人的声音，建议真人录。</t>
        </is>
      </c>
    </row>
    <row r="20" ht="28" customHeight="1">
      <c r="A20" s="2" t="inlineStr">
        <is>
          <t>没有温度的声音：机械女声，即 Agent，显示在左侧弹窗。可以用 TTS + 电子处理（轻微 bitcrush / 环形调制），全程保持同一种处理。</t>
        </is>
      </c>
    </row>
    <row r="21">
      <c r="A21" s="2" t="n"/>
    </row>
    <row r="22">
      <c r="A22" s="5" t="inlineStr">
        <is>
          <t>整体声音方向</t>
        </is>
      </c>
    </row>
    <row r="23" ht="28" customHeight="1">
      <c r="A23" s="2" t="inlineStr">
        <is>
          <t>主线是“从 Agent 代理的数字世界回到真实感官”：INTRO–S2 冷、电子、干净；S3 加入色彩和空间感；S4 每摘一只虫子更自然一档；PICK 以真实阳台环境声为主。</t>
        </is>
      </c>
    </row>
    <row r="24">
      <c r="A24" s="2" t="inlineStr">
        <is>
          <t>音乐建议做成同一主题的分层（stems），各阶段叠加或替换乐器，转场不用硬切。</t>
        </is>
      </c>
    </row>
    <row r="25">
      <c r="A25" s="2" t="n"/>
    </row>
    <row r="26">
      <c r="A26" s="5" t="inlineStr">
        <is>
          <t>交付规格</t>
        </is>
      </c>
    </row>
    <row r="27" ht="28" customHeight="1">
      <c r="A27" s="2" t="inlineStr">
        <is>
          <t>配音：WAV 48kHz 16bit 单声道，句首句尾各留 0.2s 空白，无背景音，文件名用“配音”表的文件名列。</t>
        </is>
      </c>
    </row>
    <row r="28" ht="28" customHeight="1">
      <c r="A28" s="2" t="inlineStr">
        <is>
          <t>音效：WAV 48kHz 16bit 单声道（标了立体声 / 3D 的除外），峰值 ≤ -3dB；有变体的命名 _01、_02……</t>
        </is>
      </c>
    </row>
    <row r="29">
      <c r="A29" s="2" t="inlineStr">
        <is>
          <t>音乐 / 环境音：OGG 或 WAV 48kHz 立体声，循环的需要无缝循环点。</t>
        </is>
      </c>
    </row>
    <row r="30">
      <c r="A30" s="2" t="inlineStr">
        <is>
          <t>优先级：P0 = demo 必须有；P1 = 应该有；P2 = 有时间再做。</t>
        </is>
      </c>
    </row>
    <row r="31">
      <c r="A31" s="2" t="n"/>
    </row>
    <row r="32">
      <c r="A32" s="5" t="inlineStr">
        <is>
          <t>待确认（策划）</t>
        </is>
      </c>
    </row>
    <row r="33">
      <c r="A33" s="2" t="inlineStr">
        <is>
          <t>1. Agent 台词是真人配音还是 TTS？</t>
        </is>
      </c>
    </row>
    <row r="34">
      <c r="A34" s="2" t="inlineStr">
        <is>
          <t>2. S1 随机池台词带随机数字，是否同意用“数据念白”电子音代替配音？</t>
        </is>
      </c>
    </row>
    <row r="35">
      <c r="A35" s="2" t="inlineStr">
        <is>
          <t>3. 品尝视频（V_TASTE）台词表里已经没有，是否还要做？</t>
        </is>
      </c>
    </row>
    <row r="36">
      <c r="A36" s="2" t="inlineStr">
        <is>
          <t>4. 视频音轨谁做：视频自带声音，还是音效老师按画面另做后合成？</t>
        </is>
      </c>
    </row>
  </sheetData>
  <mergeCells count="20">
    <mergeCell ref="A30:H30"/>
    <mergeCell ref="A24:H24"/>
    <mergeCell ref="A36:H36"/>
    <mergeCell ref="A25:H25"/>
    <mergeCell ref="A27:H27"/>
    <mergeCell ref="A18:H18"/>
    <mergeCell ref="A26:H26"/>
    <mergeCell ref="A21:H21"/>
    <mergeCell ref="A2:H2"/>
    <mergeCell ref="A33:H33"/>
    <mergeCell ref="A23:H23"/>
    <mergeCell ref="A32:H32"/>
    <mergeCell ref="A22:H22"/>
    <mergeCell ref="A29:H29"/>
    <mergeCell ref="A35:H35"/>
    <mergeCell ref="A20:H20"/>
    <mergeCell ref="A28:H28"/>
    <mergeCell ref="A19:H19"/>
    <mergeCell ref="A31:H3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11" customWidth="1" min="4" max="4"/>
    <col width="60" customWidth="1" min="5" max="5"/>
    <col width="30" customWidth="1" min="6" max="6"/>
    <col width="10" customWidth="1" min="7" max="7"/>
    <col width="34" customWidth="1" min="8" max="8"/>
    <col width="7" customWidth="1" min="9" max="9"/>
    <col width="10" customWidth="1" min="10" max="10"/>
    <col width="16" customWidth="1" min="12" max="12"/>
  </cols>
  <sheetData>
    <row r="1">
      <c r="A1" s="6" t="inlineStr">
        <is>
          <t>文件名</t>
        </is>
      </c>
      <c r="B1" s="6" t="inlineStr">
        <is>
          <t>段落</t>
        </is>
      </c>
      <c r="C1" s="6" t="inlineStr">
        <is>
          <t>角色</t>
        </is>
      </c>
      <c r="D1" s="6" t="inlineStr">
        <is>
          <t>显示位置</t>
        </is>
      </c>
      <c r="E1" s="6" t="inlineStr">
        <is>
          <t>台词</t>
        </is>
      </c>
      <c r="F1" s="6" t="inlineStr">
        <is>
          <t>表演提示</t>
        </is>
      </c>
      <c r="G1" s="6" t="inlineStr">
        <is>
          <t>需要配音</t>
        </is>
      </c>
      <c r="H1" s="6" t="inlineStr">
        <is>
          <t>备注</t>
        </is>
      </c>
      <c r="I1" s="6" t="inlineStr">
        <is>
          <t>字数</t>
        </is>
      </c>
      <c r="J1" s="6" t="inlineStr">
        <is>
          <t>估算时长(s)</t>
        </is>
      </c>
    </row>
    <row r="2">
      <c r="A2" s="7" t="inlineStr">
        <is>
          <t>VO_INTRO_001</t>
        </is>
      </c>
      <c r="B2" s="7" t="inlineStr">
        <is>
          <t>INTRO</t>
        </is>
      </c>
      <c r="C2" s="7" t="inlineStr">
        <is>
          <t>亲切的声音</t>
        </is>
      </c>
      <c r="D2" s="7" t="inlineStr">
        <is>
          <t>字幕</t>
        </is>
      </c>
      <c r="E2" s="7" t="inlineStr">
        <is>
          <t>嗨，你醒了。</t>
        </is>
      </c>
      <c r="F2" s="7" t="inlineStr">
        <is>
          <t>轻、近，像在耳边唤醒一个刚睡醒的人</t>
        </is>
      </c>
      <c r="G2" s="7" t="inlineStr">
        <is>
          <t>是</t>
        </is>
      </c>
      <c r="H2" s="7" t="inlineStr"/>
      <c r="I2" s="8">
        <f>LEN(E2)</f>
        <v/>
      </c>
      <c r="J2" s="8">
        <f>ROUND(I2/$M$3+0.4,1)</f>
        <v/>
      </c>
      <c r="L2" s="3" t="inlineStr">
        <is>
          <t>估算参数</t>
        </is>
      </c>
    </row>
    <row r="3">
      <c r="A3" s="7" t="inlineStr">
        <is>
          <t>VO_INTRO_002</t>
        </is>
      </c>
      <c r="B3" s="7" t="inlineStr">
        <is>
          <t>INTRO</t>
        </is>
      </c>
      <c r="C3" s="7" t="inlineStr">
        <is>
          <t>没有温度的声音</t>
        </is>
      </c>
      <c r="D3" s="7" t="inlineStr">
        <is>
          <t>Agent弹窗</t>
        </is>
      </c>
      <c r="E3" s="7" t="inlineStr">
        <is>
          <t>神经连接已恢复。</t>
        </is>
      </c>
      <c r="F3" s="7" t="inlineStr">
        <is>
          <t>平稳、无情绪、语速均匀</t>
        </is>
      </c>
      <c r="G3" s="7" t="inlineStr">
        <is>
          <t>是</t>
        </is>
      </c>
      <c r="H3" s="7" t="inlineStr"/>
      <c r="I3" s="8">
        <f>LEN(E3)</f>
        <v/>
      </c>
      <c r="J3" s="8">
        <f>ROUND(I3/$M$3+0.4,1)</f>
        <v/>
      </c>
      <c r="L3" s="4" t="inlineStr">
        <is>
          <t>语速（字/秒）</t>
        </is>
      </c>
      <c r="M3" s="9" t="n">
        <v>4.5</v>
      </c>
    </row>
    <row r="4">
      <c r="A4" s="7" t="inlineStr">
        <is>
          <t>VO_INTRO_003</t>
        </is>
      </c>
      <c r="B4" s="7" t="inlineStr">
        <is>
          <t>INTRO</t>
        </is>
      </c>
      <c r="C4" s="7" t="inlineStr">
        <is>
          <t>没有温度的声音</t>
        </is>
      </c>
      <c r="D4" s="7" t="inlineStr">
        <is>
          <t>Agent弹窗</t>
        </is>
      </c>
      <c r="E4" s="7" t="inlineStr">
        <is>
          <t>检测到稳定的意识活动。</t>
        </is>
      </c>
      <c r="F4" s="7" t="inlineStr">
        <is>
          <t>平稳、无情绪、语速均匀</t>
        </is>
      </c>
      <c r="G4" s="7" t="inlineStr">
        <is>
          <t>是</t>
        </is>
      </c>
      <c r="H4" s="7" t="inlineStr"/>
      <c r="I4" s="8">
        <f>LEN(E4)</f>
        <v/>
      </c>
      <c r="J4" s="8">
        <f>ROUND(I4/$M$3+0.4,1)</f>
        <v/>
      </c>
      <c r="L4" s="10" t="inlineStr">
        <is>
          <t>估算时长 = 字数 ÷ 语速 + 0.4s 首尾留白。蓝色数字可改。</t>
        </is>
      </c>
    </row>
    <row r="5">
      <c r="A5" s="7" t="inlineStr">
        <is>
          <t>VO_INTRO_004</t>
        </is>
      </c>
      <c r="B5" s="7" t="inlineStr">
        <is>
          <t>INTRO</t>
        </is>
      </c>
      <c r="C5" s="7" t="inlineStr">
        <is>
          <t>没有温度的声音</t>
        </is>
      </c>
      <c r="D5" s="7" t="inlineStr">
        <is>
          <t>Agent弹窗</t>
        </is>
      </c>
      <c r="E5" s="7" t="inlineStr">
        <is>
          <t>语言和运动通道尚未恢复。</t>
        </is>
      </c>
      <c r="F5" s="7" t="inlineStr">
        <is>
          <t>平稳、无情绪、语速均匀</t>
        </is>
      </c>
      <c r="G5" s="7" t="inlineStr">
        <is>
          <t>是</t>
        </is>
      </c>
      <c r="H5" s="7" t="inlineStr"/>
      <c r="I5" s="8">
        <f>LEN(E5)</f>
        <v/>
      </c>
      <c r="J5" s="8">
        <f>ROUND(I5/$M$3+0.4,1)</f>
        <v/>
      </c>
    </row>
    <row r="6">
      <c r="A6" s="7" t="inlineStr">
        <is>
          <t>VO_INTRO_005</t>
        </is>
      </c>
      <c r="B6" s="7" t="inlineStr">
        <is>
          <t>INTRO</t>
        </is>
      </c>
      <c r="C6" s="7" t="inlineStr">
        <is>
          <t>亲切的声音</t>
        </is>
      </c>
      <c r="D6" s="7" t="inlineStr">
        <is>
          <t>字幕</t>
        </is>
      </c>
      <c r="E6" s="7" t="inlineStr">
        <is>
          <t>也许你没有意识到，你生活在这片虚无的黑暗中已经很久了。</t>
        </is>
      </c>
      <c r="F6" s="7" t="inlineStr">
        <is>
          <t>缓慢，带一点心疼</t>
        </is>
      </c>
      <c r="G6" s="7" t="inlineStr">
        <is>
          <t>是</t>
        </is>
      </c>
      <c r="H6" s="7" t="inlineStr"/>
      <c r="I6" s="8">
        <f>LEN(E6)</f>
        <v/>
      </c>
      <c r="J6" s="8">
        <f>ROUND(I6/$M$3+0.4,1)</f>
        <v/>
      </c>
    </row>
    <row r="7">
      <c r="A7" s="7" t="inlineStr">
        <is>
          <t>VO_INTRO_006</t>
        </is>
      </c>
      <c r="B7" s="7" t="inlineStr">
        <is>
          <t>INTRO</t>
        </is>
      </c>
      <c r="C7" s="7" t="inlineStr">
        <is>
          <t>亲切的声音</t>
        </is>
      </c>
      <c r="D7" s="7" t="inlineStr">
        <is>
          <t>字幕</t>
        </is>
      </c>
      <c r="E7" s="7" t="inlineStr">
        <is>
          <t>如果你能听到我的声音，这里是认知贫化症候治疗中心。有很多人在关心你的状况。</t>
        </is>
      </c>
      <c r="F7" s="7" t="inlineStr">
        <is>
          <t>安抚、可信，像医护人员</t>
        </is>
      </c>
      <c r="G7" s="7" t="inlineStr">
        <is>
          <t>是</t>
        </is>
      </c>
      <c r="H7" s="7" t="inlineStr"/>
      <c r="I7" s="8">
        <f>LEN(E7)</f>
        <v/>
      </c>
      <c r="J7" s="8">
        <f>ROUND(I7/$M$3+0.4,1)</f>
        <v/>
      </c>
    </row>
    <row r="8">
      <c r="A8" s="7" t="inlineStr">
        <is>
          <t>VO_INTRO_007</t>
        </is>
      </c>
      <c r="B8" s="7" t="inlineStr">
        <is>
          <t>INTRO</t>
        </is>
      </c>
      <c r="C8" s="7" t="inlineStr">
        <is>
          <t>亲切的声音</t>
        </is>
      </c>
      <c r="D8" s="7" t="inlineStr">
        <is>
          <t>字幕</t>
        </is>
      </c>
      <c r="E8" s="7" t="inlineStr">
        <is>
          <t>……不，这不是玩笑。你当然仍处在“现实”之中，</t>
        </is>
      </c>
      <c r="F8" s="7" t="inlineStr">
        <is>
          <t>先停顿（……），轻轻否认，略带苦笑</t>
        </is>
      </c>
      <c r="G8" s="7" t="inlineStr">
        <is>
          <t>是</t>
        </is>
      </c>
      <c r="H8" s="7" t="inlineStr"/>
      <c r="I8" s="8">
        <f>LEN(E8)</f>
        <v/>
      </c>
      <c r="J8" s="8">
        <f>ROUND(I8/$M$3+0.4,1)</f>
        <v/>
      </c>
    </row>
    <row r="9">
      <c r="A9" s="7" t="inlineStr">
        <is>
          <t>VO_INTRO_008</t>
        </is>
      </c>
      <c r="B9" s="7" t="inlineStr">
        <is>
          <t>INTRO</t>
        </is>
      </c>
      <c r="C9" s="7" t="inlineStr">
        <is>
          <t>亲切的声音</t>
        </is>
      </c>
      <c r="D9" s="7" t="inlineStr">
        <is>
          <t>字幕</t>
        </is>
      </c>
      <c r="E9" s="7" t="inlineStr">
        <is>
          <t>但由于你长久以来使用agent过度代理与现实世界信息交互，感官与神经机能出现了严重退化——也就是现在大流行的“认知贫化症”，大脑失去了重建真实世界的能力。我目前正在尝试通过脑机接口与你建立连接。</t>
        </is>
      </c>
      <c r="F9" s="7" t="inlineStr">
        <is>
          <t>解释性，语速平稳</t>
        </is>
      </c>
      <c r="G9" s="7" t="inlineStr">
        <is>
          <t>是</t>
        </is>
      </c>
      <c r="H9" s="7" t="inlineStr">
        <is>
          <t>较长，可按逗号分 2–3 个文件录</t>
        </is>
      </c>
      <c r="I9" s="8">
        <f>LEN(E9)</f>
        <v/>
      </c>
      <c r="J9" s="8">
        <f>ROUND(I9/$M$3+0.4,1)</f>
        <v/>
      </c>
    </row>
    <row r="10">
      <c r="A10" s="7" t="inlineStr">
        <is>
          <t>VO_INTRO_009</t>
        </is>
      </c>
      <c r="B10" s="7" t="inlineStr">
        <is>
          <t>INTRO</t>
        </is>
      </c>
      <c r="C10" s="7" t="inlineStr">
        <is>
          <t>亲切的声音</t>
        </is>
      </c>
      <c r="D10" s="7" t="inlineStr">
        <is>
          <t>字幕</t>
        </is>
      </c>
      <c r="E10" s="7" t="inlineStr">
        <is>
          <t>……检测到神经信号回应，很高兴知道你还在这里。我已经与你进行感知野同步——看来这里现在确实空空无一物，嗯？</t>
        </is>
      </c>
      <c r="F10" s="7" t="inlineStr">
        <is>
          <t>惊喜后松一口气，最后“嗯？”带点俏皮</t>
        </is>
      </c>
      <c r="G10" s="7" t="inlineStr">
        <is>
          <t>是</t>
        </is>
      </c>
      <c r="H10" s="7" t="inlineStr"/>
      <c r="I10" s="8">
        <f>LEN(E10)</f>
        <v/>
      </c>
      <c r="J10" s="8">
        <f>ROUND(I10/$M$3+0.4,1)</f>
        <v/>
      </c>
    </row>
    <row r="11">
      <c r="A11" s="7" t="inlineStr">
        <is>
          <t>VO_INTRO_010</t>
        </is>
      </c>
      <c r="B11" s="7" t="inlineStr">
        <is>
          <t>INTRO</t>
        </is>
      </c>
      <c r="C11" s="7" t="inlineStr">
        <is>
          <t>亲切的声音</t>
        </is>
      </c>
      <c r="D11" s="7" t="inlineStr">
        <is>
          <t>字幕</t>
        </is>
      </c>
      <c r="E11" s="7" t="inlineStr">
        <is>
          <t>别担心，接下来我会逐步引导你，通过一系列简单的认知练习来恢复基本认知功能。</t>
        </is>
      </c>
      <c r="F11" s="7" t="inlineStr">
        <is>
          <t>鼓励</t>
        </is>
      </c>
      <c r="G11" s="7" t="inlineStr">
        <is>
          <t>是</t>
        </is>
      </c>
      <c r="H11" s="7" t="inlineStr"/>
      <c r="I11" s="8">
        <f>LEN(E11)</f>
        <v/>
      </c>
      <c r="J11" s="8">
        <f>ROUND(I11/$M$3+0.4,1)</f>
        <v/>
      </c>
    </row>
    <row r="12">
      <c r="A12" s="7" t="inlineStr">
        <is>
          <t>VO_INTRO_011</t>
        </is>
      </c>
      <c r="B12" s="7" t="inlineStr">
        <is>
          <t>INTRO</t>
        </is>
      </c>
      <c r="C12" s="7" t="inlineStr">
        <is>
          <t>亲切的声音</t>
        </is>
      </c>
      <c r="D12" s="7" t="inlineStr">
        <is>
          <t>字幕</t>
        </is>
      </c>
      <c r="E12" s="7" t="inlineStr">
        <is>
          <t>让我们先从你目前能承受的认知负荷开始。</t>
        </is>
      </c>
      <c r="F12" s="7" t="inlineStr">
        <is>
          <t>温柔、亲近</t>
        </is>
      </c>
      <c r="G12" s="7" t="inlineStr">
        <is>
          <t>是</t>
        </is>
      </c>
      <c r="H12" s="7" t="inlineStr"/>
      <c r="I12" s="8">
        <f>LEN(E12)</f>
        <v/>
      </c>
      <c r="J12" s="8">
        <f>ROUND(I12/$M$3+0.4,1)</f>
        <v/>
      </c>
    </row>
    <row r="13">
      <c r="A13" s="11" t="inlineStr">
        <is>
          <t>VO_TUT_002</t>
        </is>
      </c>
      <c r="B13" s="11" t="inlineStr">
        <is>
          <t>TUT</t>
        </is>
      </c>
      <c r="C13" s="11" t="inlineStr">
        <is>
          <t>亲切的声音</t>
        </is>
      </c>
      <c r="D13" s="11" t="inlineStr">
        <is>
          <t>字幕</t>
        </is>
      </c>
      <c r="E13" s="11" t="inlineStr">
        <is>
          <t>看到那个闪烁的方块了吗？这是一个被高度压缩过的信息单元，它代表着你现实世界生活中的一项具体事务，在这里都会显示为量化好的待处理任务。</t>
        </is>
      </c>
      <c r="F13" s="11" t="inlineStr">
        <is>
          <t>引导，像在指给对方看</t>
        </is>
      </c>
      <c r="G13" s="11" t="inlineStr">
        <is>
          <t>是</t>
        </is>
      </c>
      <c r="H13" s="11" t="inlineStr"/>
      <c r="I13" s="12">
        <f>LEN(E13)</f>
        <v/>
      </c>
      <c r="J13" s="12">
        <f>ROUND(I13/$M$3+0.4,1)</f>
        <v/>
      </c>
    </row>
    <row r="14">
      <c r="A14" s="11" t="inlineStr">
        <is>
          <t>VO_TUT_003</t>
        </is>
      </c>
      <c r="B14" s="11" t="inlineStr">
        <is>
          <t>TUT</t>
        </is>
      </c>
      <c r="C14" s="11" t="inlineStr">
        <is>
          <t>亲切的声音</t>
        </is>
      </c>
      <c r="D14" s="11" t="inlineStr">
        <is>
          <t>字幕</t>
        </is>
      </c>
      <c r="E14" s="11" t="inlineStr">
        <is>
          <t>点击异常节点，即批准agent对其进行一次自动处理。</t>
        </is>
      </c>
      <c r="F14" s="11" t="inlineStr">
        <is>
          <t>清晰的操作说明</t>
        </is>
      </c>
      <c r="G14" s="11" t="inlineStr">
        <is>
          <t>是</t>
        </is>
      </c>
      <c r="H14" s="11" t="inlineStr"/>
      <c r="I14" s="12">
        <f>LEN(E14)</f>
        <v/>
      </c>
      <c r="J14" s="12">
        <f>ROUND(I14/$M$3+0.4,1)</f>
        <v/>
      </c>
    </row>
    <row r="15">
      <c r="A15" s="11" t="inlineStr">
        <is>
          <t>VO_TUT_004</t>
        </is>
      </c>
      <c r="B15" s="11" t="inlineStr">
        <is>
          <t>TUT</t>
        </is>
      </c>
      <c r="C15" s="11" t="inlineStr">
        <is>
          <t>没有温度的声音</t>
        </is>
      </c>
      <c r="D15" s="11" t="inlineStr">
        <is>
          <t>Agent弹窗</t>
        </is>
      </c>
      <c r="E15" s="11" t="inlineStr">
        <is>
          <t>Mission Accomplished. 验收通过，日志已更新。</t>
        </is>
      </c>
      <c r="F15" s="11" t="inlineStr">
        <is>
          <t>平稳、无情绪、语速均匀</t>
        </is>
      </c>
      <c r="G15" s="11" t="inlineStr">
        <is>
          <t>是</t>
        </is>
      </c>
      <c r="H15" s="11" t="inlineStr"/>
      <c r="I15" s="12">
        <f>LEN(E15)</f>
        <v/>
      </c>
      <c r="J15" s="12">
        <f>ROUND(I15/$M$3+0.4,1)</f>
        <v/>
      </c>
    </row>
    <row r="16">
      <c r="A16" s="11" t="inlineStr">
        <is>
          <t>VO_TUT_006</t>
        </is>
      </c>
      <c r="B16" s="11" t="inlineStr">
        <is>
          <t>TUT</t>
        </is>
      </c>
      <c r="C16" s="11" t="inlineStr">
        <is>
          <t>亲切的声音</t>
        </is>
      </c>
      <c r="D16" s="11" t="inlineStr">
        <is>
          <t>字幕</t>
        </is>
      </c>
      <c r="E16" s="11" t="inlineStr">
        <is>
          <t>基本上，这就是你现在每天全部的思维活动了。</t>
        </is>
      </c>
      <c r="F16" s="11" t="inlineStr">
        <is>
          <t>略带自嘲 / 无奈</t>
        </is>
      </c>
      <c r="G16" s="11" t="inlineStr">
        <is>
          <t>是</t>
        </is>
      </c>
      <c r="H16" s="11" t="inlineStr"/>
      <c r="I16" s="12">
        <f>LEN(E16)</f>
        <v/>
      </c>
      <c r="J16" s="12">
        <f>ROUND(I16/$M$3+0.4,1)</f>
        <v/>
      </c>
    </row>
    <row r="17">
      <c r="A17" s="11" t="inlineStr">
        <is>
          <t>VO_TUT_007</t>
        </is>
      </c>
      <c r="B17" s="11" t="inlineStr">
        <is>
          <t>TUT</t>
        </is>
      </c>
      <c r="C17" s="11" t="inlineStr">
        <is>
          <t>亲切的声音</t>
        </is>
      </c>
      <c r="D17" s="11" t="inlineStr">
        <is>
          <t>字幕</t>
        </is>
      </c>
      <c r="E17" s="11" t="inlineStr">
        <is>
          <t>再来看看这个。</t>
        </is>
      </c>
      <c r="F17" s="11" t="inlineStr">
        <is>
          <t>轻快，转折</t>
        </is>
      </c>
      <c r="G17" s="11" t="inlineStr">
        <is>
          <t>是</t>
        </is>
      </c>
      <c r="H17" s="11" t="inlineStr"/>
      <c r="I17" s="12">
        <f>LEN(E17)</f>
        <v/>
      </c>
      <c r="J17" s="12">
        <f>ROUND(I17/$M$3+0.4,1)</f>
        <v/>
      </c>
    </row>
    <row r="18">
      <c r="A18" s="11" t="inlineStr">
        <is>
          <t>VO_TUT_008</t>
        </is>
      </c>
      <c r="B18" s="11" t="inlineStr">
        <is>
          <t>TUT</t>
        </is>
      </c>
      <c r="C18" s="11" t="inlineStr">
        <is>
          <t>没有温度的声音</t>
        </is>
      </c>
      <c r="D18" s="11" t="inlineStr">
        <is>
          <t>Agent弹窗</t>
        </is>
      </c>
      <c r="E18" s="11" t="inlineStr">
        <is>
          <t>Mission Failed。重试超时，进程已离线。</t>
        </is>
      </c>
      <c r="F18" s="11" t="inlineStr">
        <is>
          <t>报错，平直</t>
        </is>
      </c>
      <c r="G18" s="11" t="inlineStr">
        <is>
          <t>是</t>
        </is>
      </c>
      <c r="H18" s="11" t="inlineStr"/>
      <c r="I18" s="12">
        <f>LEN(E18)</f>
        <v/>
      </c>
      <c r="J18" s="12">
        <f>ROUND(I18/$M$3+0.4,1)</f>
        <v/>
      </c>
    </row>
    <row r="19">
      <c r="A19" s="11" t="inlineStr">
        <is>
          <t>VO_TUT_009</t>
        </is>
      </c>
      <c r="B19" s="11" t="inlineStr">
        <is>
          <t>TUT</t>
        </is>
      </c>
      <c r="C19" s="11" t="inlineStr">
        <is>
          <t>没有温度的声音</t>
        </is>
      </c>
      <c r="D19" s="11" t="inlineStr">
        <is>
          <t>Agent弹窗</t>
        </is>
      </c>
      <c r="E19" s="11" t="inlineStr">
        <is>
          <t>问题分析……未找到；已提交错误报告并移入待审查异常序列。</t>
        </is>
      </c>
      <c r="F19" s="11" t="inlineStr">
        <is>
          <t>平稳、无情绪、语速均匀</t>
        </is>
      </c>
      <c r="G19" s="11" t="inlineStr">
        <is>
          <t>是</t>
        </is>
      </c>
      <c r="H19" s="11" t="inlineStr"/>
      <c r="I19" s="12">
        <f>LEN(E19)</f>
        <v/>
      </c>
      <c r="J19" s="12">
        <f>ROUND(I19/$M$3+0.4,1)</f>
        <v/>
      </c>
    </row>
    <row r="20">
      <c r="A20" s="11" t="inlineStr">
        <is>
          <t>VO_TUT_010</t>
        </is>
      </c>
      <c r="B20" s="11" t="inlineStr">
        <is>
          <t>TUT</t>
        </is>
      </c>
      <c r="C20" s="11" t="inlineStr">
        <is>
          <t>亲切的声音</t>
        </is>
      </c>
      <c r="D20" s="11" t="inlineStr">
        <is>
          <t>字幕</t>
        </is>
      </c>
      <c r="E20" s="11" t="inlineStr">
        <is>
          <t>但总有一些时候，通用的逻辑与抽象经验解决不了问题。如果节点继续闪烁，就意味着异常仍在抛出。</t>
        </is>
      </c>
      <c r="F20" s="11" t="inlineStr">
        <is>
          <t>认真起来</t>
        </is>
      </c>
      <c r="G20" s="11" t="inlineStr">
        <is>
          <t>是</t>
        </is>
      </c>
      <c r="H20" s="11" t="inlineStr"/>
      <c r="I20" s="12">
        <f>LEN(E20)</f>
        <v/>
      </c>
      <c r="J20" s="12">
        <f>ROUND(I20/$M$3+0.4,1)</f>
        <v/>
      </c>
    </row>
    <row r="21">
      <c r="A21" s="11" t="inlineStr">
        <is>
          <t>VO_TUT_011</t>
        </is>
      </c>
      <c r="B21" s="11" t="inlineStr">
        <is>
          <t>TUT</t>
        </is>
      </c>
      <c r="C21" s="11" t="inlineStr">
        <is>
          <t>亲切的声音</t>
        </is>
      </c>
      <c r="D21" s="11" t="inlineStr">
        <is>
          <t>字幕</t>
        </is>
      </c>
      <c r="E21" s="11" t="inlineStr">
        <is>
          <t>这便是需要你主动介入的时候了。用更原始的办法打捞更原始的信息；解决之道，往往就在其中。</t>
        </is>
      </c>
      <c r="F21" s="11" t="inlineStr">
        <is>
          <t>坚定、有一点期许</t>
        </is>
      </c>
      <c r="G21" s="11" t="inlineStr">
        <is>
          <t>是</t>
        </is>
      </c>
      <c r="H21" s="11" t="inlineStr"/>
      <c r="I21" s="12">
        <f>LEN(E21)</f>
        <v/>
      </c>
      <c r="J21" s="12">
        <f>ROUND(I21/$M$3+0.4,1)</f>
        <v/>
      </c>
    </row>
    <row r="22">
      <c r="A22" s="11" t="inlineStr">
        <is>
          <t>VO_TUT_012</t>
        </is>
      </c>
      <c r="B22" s="11" t="inlineStr">
        <is>
          <t>TUT</t>
        </is>
      </c>
      <c r="C22" s="11" t="inlineStr">
        <is>
          <t>亲切的声音</t>
        </is>
      </c>
      <c r="D22" s="11" t="inlineStr">
        <is>
          <t>字幕</t>
        </is>
      </c>
      <c r="E22" s="11" t="inlineStr">
        <is>
          <t>右键点击节点可以查看任务详情，不过它们经过了agent的自动压缩，也许现在的你还想不起具体的细节——重新建立对真实的认知是一个需要时间的过程。</t>
        </is>
      </c>
      <c r="F22" s="11" t="inlineStr">
        <is>
          <t>说明 + 温柔的宽慰</t>
        </is>
      </c>
      <c r="G22" s="11" t="inlineStr">
        <is>
          <t>是</t>
        </is>
      </c>
      <c r="H22" s="11" t="inlineStr"/>
      <c r="I22" s="12">
        <f>LEN(E22)</f>
        <v/>
      </c>
      <c r="J22" s="12">
        <f>ROUND(I22/$M$3+0.4,1)</f>
        <v/>
      </c>
    </row>
    <row r="23">
      <c r="A23" s="11" t="inlineStr">
        <is>
          <t>VO_TUT_013</t>
        </is>
      </c>
      <c r="B23" s="11" t="inlineStr">
        <is>
          <t>TUT</t>
        </is>
      </c>
      <c r="C23" s="11" t="inlineStr">
        <is>
          <t>亲切的声音</t>
        </is>
      </c>
      <c r="D23" s="11" t="inlineStr">
        <is>
          <t>字幕</t>
        </is>
      </c>
      <c r="E23" s="11" t="inlineStr">
        <is>
          <t>让我们来看看你走了多远。</t>
        </is>
      </c>
      <c r="F23" s="11" t="inlineStr">
        <is>
          <t>温柔、亲近</t>
        </is>
      </c>
      <c r="G23" s="11" t="inlineStr">
        <is>
          <t>是</t>
        </is>
      </c>
      <c r="H23" s="11" t="inlineStr"/>
      <c r="I23" s="12">
        <f>LEN(E23)</f>
        <v/>
      </c>
      <c r="J23" s="12">
        <f>ROUND(I23/$M$3+0.4,1)</f>
        <v/>
      </c>
    </row>
    <row r="24">
      <c r="A24" s="11" t="inlineStr">
        <is>
          <t>VO_TUT_014</t>
        </is>
      </c>
      <c r="B24" s="11" t="inlineStr">
        <is>
          <t>TUT</t>
        </is>
      </c>
      <c r="C24" s="11" t="inlineStr">
        <is>
          <t>没有温度的声音</t>
        </is>
      </c>
      <c r="D24" s="11" t="inlineStr">
        <is>
          <t>右键详情</t>
        </is>
      </c>
      <c r="E24" s="11" t="inlineStr">
        <is>
          <t>维护单元07：稳定度下降 / 建议操作：补充资源 / 预计改善：+12%</t>
        </is>
      </c>
      <c r="F24" s="11" t="inlineStr">
        <is>
          <t>平稳、无情绪、语速均匀</t>
        </is>
      </c>
      <c r="G24" s="11" t="inlineStr">
        <is>
          <t>否（建议）</t>
        </is>
      </c>
      <c r="H24" s="11" t="inlineStr">
        <is>
          <t>右键详情框里的文字，建议不配音，只播 SFX_DETAIL_OPEN</t>
        </is>
      </c>
      <c r="I24" s="12">
        <f>LEN(E24)</f>
        <v/>
      </c>
      <c r="J24" s="12">
        <f>ROUND(I24/$M$3+0.4,1)</f>
        <v/>
      </c>
    </row>
    <row r="25">
      <c r="A25" s="11" t="inlineStr">
        <is>
          <t>VO_TUT_015</t>
        </is>
      </c>
      <c r="B25" s="11" t="inlineStr">
        <is>
          <t>TUT</t>
        </is>
      </c>
      <c r="C25" s="11" t="inlineStr">
        <is>
          <t>亲切的声音</t>
        </is>
      </c>
      <c r="D25" s="11" t="inlineStr">
        <is>
          <t>字幕</t>
        </is>
      </c>
      <c r="E25" s="11" t="inlineStr">
        <is>
          <t>直观、清晰、安心……也有些令人感到茫然。</t>
        </is>
      </c>
      <c r="F25" s="11" t="inlineStr">
        <is>
          <t>先平静描述，到“茫然”时声音放低</t>
        </is>
      </c>
      <c r="G25" s="11" t="inlineStr">
        <is>
          <t>是</t>
        </is>
      </c>
      <c r="H25" s="11" t="inlineStr"/>
      <c r="I25" s="12">
        <f>LEN(E25)</f>
        <v/>
      </c>
      <c r="J25" s="12">
        <f>ROUND(I25/$M$3+0.4,1)</f>
        <v/>
      </c>
    </row>
    <row r="26">
      <c r="A26" s="11" t="inlineStr">
        <is>
          <t>VO_TUT_016</t>
        </is>
      </c>
      <c r="B26" s="11" t="inlineStr">
        <is>
          <t>TUT</t>
        </is>
      </c>
      <c r="C26" s="11" t="inlineStr">
        <is>
          <t>亲切的声音</t>
        </is>
      </c>
      <c r="D26" s="11" t="inlineStr">
        <is>
          <t>字幕</t>
        </is>
      </c>
      <c r="E26" s="11" t="inlineStr">
        <is>
          <t>不过别着急，我今天正是为此而来。</t>
        </is>
      </c>
      <c r="F26" s="11" t="inlineStr">
        <is>
          <t>温暖、笃定</t>
        </is>
      </c>
      <c r="G26" s="11" t="inlineStr">
        <is>
          <t>是</t>
        </is>
      </c>
      <c r="H26" s="11" t="inlineStr"/>
      <c r="I26" s="12">
        <f>LEN(E26)</f>
        <v/>
      </c>
      <c r="J26" s="12">
        <f>ROUND(I26/$M$3+0.4,1)</f>
        <v/>
      </c>
    </row>
    <row r="27">
      <c r="A27" s="13" t="inlineStr">
        <is>
          <t>VO_S1_001</t>
        </is>
      </c>
      <c r="B27" s="13" t="inlineStr">
        <is>
          <t>S1</t>
        </is>
      </c>
      <c r="C27" s="13" t="inlineStr">
        <is>
          <t>亲切的声音</t>
        </is>
      </c>
      <c r="D27" s="13" t="inlineStr">
        <is>
          <t>字幕</t>
        </is>
      </c>
      <c r="E27" s="13" t="inlineStr">
        <is>
          <t>真实生活的“任务系统”随机而复杂，为了适应恢复感官后的信息处理速度，我们首先来做一个并行处理能力练习。</t>
        </is>
      </c>
      <c r="F27" s="13" t="inlineStr">
        <is>
          <t>温柔、亲近</t>
        </is>
      </c>
      <c r="G27" s="13" t="inlineStr">
        <is>
          <t>是</t>
        </is>
      </c>
      <c r="H27" s="13" t="inlineStr"/>
      <c r="I27" s="14">
        <f>LEN(E27)</f>
        <v/>
      </c>
      <c r="J27" s="14">
        <f>ROUND(I27/$M$3+0.4,1)</f>
        <v/>
      </c>
    </row>
    <row r="28">
      <c r="A28" s="13" t="inlineStr">
        <is>
          <t>VO_S1_P01</t>
        </is>
      </c>
      <c r="B28" s="13" t="inlineStr">
        <is>
          <t>S1</t>
        </is>
      </c>
      <c r="C28" s="13" t="inlineStr">
        <is>
          <t>没有温度的声音</t>
        </is>
      </c>
      <c r="D28" s="13" t="inlineStr">
        <is>
          <t>Agent弹窗</t>
        </is>
      </c>
      <c r="E28" s="13" t="inlineStr">
        <is>
          <t>维护单元{01-99}：稳定度下降 / 建议操作：补充资源 / 预计改善：+{5-20}%</t>
        </is>
      </c>
      <c r="F28" s="13" t="inlineStr">
        <is>
          <t>平稳、无情绪、语速均匀</t>
        </is>
      </c>
      <c r="G28" s="13" t="inlineStr">
        <is>
          <t>否（建议）</t>
        </is>
      </c>
      <c r="H28" s="13" t="inlineStr">
        <is>
          <t>随机池，文本带随机数字，不适合配音；建议用 SFX_AGENT_DATA（数据念白电子音）代替</t>
        </is>
      </c>
      <c r="I28" s="14">
        <f>LEN(E28)</f>
        <v/>
      </c>
      <c r="J28" s="14">
        <f>ROUND(I28/$M$3+0.4,1)</f>
        <v/>
      </c>
    </row>
    <row r="29">
      <c r="A29" s="13" t="inlineStr">
        <is>
          <t>VO_S1_P02</t>
        </is>
      </c>
      <c r="B29" s="13" t="inlineStr">
        <is>
          <t>S1</t>
        </is>
      </c>
      <c r="C29" s="13" t="inlineStr">
        <is>
          <t>没有温度的声音</t>
        </is>
      </c>
      <c r="D29" s="13" t="inlineStr">
        <is>
          <t>Agent弹窗</t>
        </is>
      </c>
      <c r="E29" s="13" t="inlineStr">
        <is>
          <t>外部联系{01-99}：等待回应 / 建议操作：自动回复 / 关系风险：低</t>
        </is>
      </c>
      <c r="F29" s="13" t="inlineStr">
        <is>
          <t>平稳、无情绪、语速均匀</t>
        </is>
      </c>
      <c r="G29" s="13" t="inlineStr">
        <is>
          <t>否（建议）</t>
        </is>
      </c>
      <c r="H29" s="13" t="inlineStr">
        <is>
          <t>随机池，文本带随机数字，不适合配音；建议用 SFX_AGENT_DATA（数据念白电子音）代替</t>
        </is>
      </c>
      <c r="I29" s="14">
        <f>LEN(E29)</f>
        <v/>
      </c>
      <c r="J29" s="14">
        <f>ROUND(I29/$M$3+0.4,1)</f>
        <v/>
      </c>
    </row>
    <row r="30">
      <c r="A30" s="13" t="inlineStr">
        <is>
          <t>VO_S1_P03</t>
        </is>
      </c>
      <c r="B30" s="13" t="inlineStr">
        <is>
          <t>S1</t>
        </is>
      </c>
      <c r="C30" s="13" t="inlineStr">
        <is>
          <t>没有温度的声音</t>
        </is>
      </c>
      <c r="D30" s="13" t="inlineStr">
        <is>
          <t>Agent弹窗</t>
        </is>
      </c>
      <c r="E30" s="13" t="inlineStr">
        <is>
          <t>日程节点{01-99}：时段冲突 / 建议操作：自动顺延 / 置信度：{70-98}%</t>
        </is>
      </c>
      <c r="F30" s="13" t="inlineStr">
        <is>
          <t>平稳、无情绪、语速均匀</t>
        </is>
      </c>
      <c r="G30" s="13" t="inlineStr">
        <is>
          <t>否（建议）</t>
        </is>
      </c>
      <c r="H30" s="13" t="inlineStr">
        <is>
          <t>随机池，文本带随机数字，不适合配音；建议用 SFX_AGENT_DATA（数据念白电子音）代替</t>
        </is>
      </c>
      <c r="I30" s="14">
        <f>LEN(E30)</f>
        <v/>
      </c>
      <c r="J30" s="14">
        <f>ROUND(I30/$M$3+0.4,1)</f>
        <v/>
      </c>
    </row>
    <row r="31">
      <c r="A31" s="13" t="inlineStr">
        <is>
          <t>VO_S1_P04</t>
        </is>
      </c>
      <c r="B31" s="13" t="inlineStr">
        <is>
          <t>S1</t>
        </is>
      </c>
      <c r="C31" s="13" t="inlineStr">
        <is>
          <t>没有温度的声音</t>
        </is>
      </c>
      <c r="D31" s="13" t="inlineStr">
        <is>
          <t>Agent弹窗</t>
        </is>
      </c>
      <c r="E31" s="13" t="inlineStr">
        <is>
          <t>营养摄入{01-99}：低于基准 / 建议操作：订购标准餐 / 预计改善：+{3-15}%</t>
        </is>
      </c>
      <c r="F31" s="13" t="inlineStr">
        <is>
          <t>平稳、无情绪、语速均匀</t>
        </is>
      </c>
      <c r="G31" s="13" t="inlineStr">
        <is>
          <t>否（建议）</t>
        </is>
      </c>
      <c r="H31" s="13" t="inlineStr">
        <is>
          <t>随机池，文本带随机数字，不适合配音；建议用 SFX_AGENT_DATA（数据念白电子音）代替</t>
        </is>
      </c>
      <c r="I31" s="14">
        <f>LEN(E31)</f>
        <v/>
      </c>
      <c r="J31" s="14">
        <f>ROUND(I31/$M$3+0.4,1)</f>
        <v/>
      </c>
    </row>
    <row r="32">
      <c r="A32" s="13" t="inlineStr">
        <is>
          <t>VO_S1_P05</t>
        </is>
      </c>
      <c r="B32" s="13" t="inlineStr">
        <is>
          <t>S1</t>
        </is>
      </c>
      <c r="C32" s="13" t="inlineStr">
        <is>
          <t>没有温度的声音</t>
        </is>
      </c>
      <c r="D32" s="13" t="inlineStr">
        <is>
          <t>Agent弹窗</t>
        </is>
      </c>
      <c r="E32" s="13" t="inlineStr">
        <is>
          <t>睡眠周期{01-99}：深睡不足 / 建议操作：调整提醒时段 / 风险：中</t>
        </is>
      </c>
      <c r="F32" s="13" t="inlineStr">
        <is>
          <t>平稳、无情绪、语速均匀</t>
        </is>
      </c>
      <c r="G32" s="13" t="inlineStr">
        <is>
          <t>否（建议）</t>
        </is>
      </c>
      <c r="H32" s="13" t="inlineStr">
        <is>
          <t>随机池，文本带随机数字，不适合配音；建议用 SFX_AGENT_DATA（数据念白电子音）代替</t>
        </is>
      </c>
      <c r="I32" s="14">
        <f>LEN(E32)</f>
        <v/>
      </c>
      <c r="J32" s="14">
        <f>ROUND(I32/$M$3+0.4,1)</f>
        <v/>
      </c>
    </row>
    <row r="33">
      <c r="A33" s="13" t="inlineStr">
        <is>
          <t>VO_S1_P06</t>
        </is>
      </c>
      <c r="B33" s="13" t="inlineStr">
        <is>
          <t>S1</t>
        </is>
      </c>
      <c r="C33" s="13" t="inlineStr">
        <is>
          <t>没有温度的声音</t>
        </is>
      </c>
      <c r="D33" s="13" t="inlineStr">
        <is>
          <t>Agent弹窗</t>
        </is>
      </c>
      <c r="E33" s="13" t="inlineStr">
        <is>
          <t>社交请求{01-99}：未读 / 建议操作：模板回复 / 关系风险：低 / 置信度：{80-99}%</t>
        </is>
      </c>
      <c r="F33" s="13" t="inlineStr">
        <is>
          <t>平稳、无情绪、语速均匀</t>
        </is>
      </c>
      <c r="G33" s="13" t="inlineStr">
        <is>
          <t>否（建议）</t>
        </is>
      </c>
      <c r="H33" s="13" t="inlineStr">
        <is>
          <t>随机池，文本带随机数字，不适合配音；建议用 SFX_AGENT_DATA（数据念白电子音）代替</t>
        </is>
      </c>
      <c r="I33" s="14">
        <f>LEN(E33)</f>
        <v/>
      </c>
      <c r="J33" s="14">
        <f>ROUND(I33/$M$3+0.4,1)</f>
        <v/>
      </c>
    </row>
    <row r="34">
      <c r="A34" s="13" t="inlineStr">
        <is>
          <t>VO_S1_002</t>
        </is>
      </c>
      <c r="B34" s="13" t="inlineStr">
        <is>
          <t>S1</t>
        </is>
      </c>
      <c r="C34" s="13" t="inlineStr">
        <is>
          <t>没有温度的声音</t>
        </is>
      </c>
      <c r="D34" s="13" t="inlineStr">
        <is>
          <t>Agent弹窗</t>
        </is>
      </c>
      <c r="E34" s="13" t="inlineStr">
        <is>
          <t>核心项目：本周期进度落后 / 建议操作：提高执行强度</t>
        </is>
      </c>
      <c r="F34" s="13" t="inlineStr">
        <is>
          <t>警告提示，略重</t>
        </is>
      </c>
      <c r="G34" s="13" t="inlineStr">
        <is>
          <t>是</t>
        </is>
      </c>
      <c r="H34" s="13" t="inlineStr"/>
      <c r="I34" s="14">
        <f>LEN(E34)</f>
        <v/>
      </c>
      <c r="J34" s="14">
        <f>ROUND(I34/$M$3+0.4,1)</f>
        <v/>
      </c>
    </row>
    <row r="35">
      <c r="A35" s="13" t="inlineStr">
        <is>
          <t>VO_S1_003</t>
        </is>
      </c>
      <c r="B35" s="13" t="inlineStr">
        <is>
          <t>S1</t>
        </is>
      </c>
      <c r="C35" s="13" t="inlineStr">
        <is>
          <t>亲切的声音</t>
        </is>
      </c>
      <c r="D35" s="13" t="inlineStr">
        <is>
          <t>字幕</t>
        </is>
      </c>
      <c r="E35" s="13" t="inlineStr">
        <is>
          <t>看起来你已经恢复了最基本的信息处理能力，并且逐渐开始对这些没头没尾的离散信息感到困惑。</t>
        </is>
      </c>
      <c r="F35" s="13" t="inlineStr">
        <is>
          <t>欣慰中带一点关切</t>
        </is>
      </c>
      <c r="G35" s="13" t="inlineStr">
        <is>
          <t>是</t>
        </is>
      </c>
      <c r="H35" s="13" t="inlineStr"/>
      <c r="I35" s="14">
        <f>LEN(E35)</f>
        <v/>
      </c>
      <c r="J35" s="14">
        <f>ROUND(I35/$M$3+0.4,1)</f>
        <v/>
      </c>
    </row>
    <row r="36">
      <c r="A36" s="13" t="inlineStr">
        <is>
          <t>VO_S1_004</t>
        </is>
      </c>
      <c r="B36" s="13" t="inlineStr">
        <is>
          <t>S1</t>
        </is>
      </c>
      <c r="C36" s="13" t="inlineStr">
        <is>
          <t>亲切的声音</t>
        </is>
      </c>
      <c r="D36" s="13" t="inlineStr">
        <is>
          <t>字幕</t>
        </is>
      </c>
      <c r="E36" s="13" t="inlineStr">
        <is>
          <t>现在我们将开始重建信息节点之间的语义关系与概念地图。</t>
        </is>
      </c>
      <c r="F36" s="13" t="inlineStr">
        <is>
          <t>温柔、亲近</t>
        </is>
      </c>
      <c r="G36" s="13" t="inlineStr">
        <is>
          <t>是</t>
        </is>
      </c>
      <c r="H36" s="13" t="inlineStr"/>
      <c r="I36" s="14">
        <f>LEN(E36)</f>
        <v/>
      </c>
      <c r="J36" s="14">
        <f>ROUND(I36/$M$3+0.4,1)</f>
        <v/>
      </c>
    </row>
    <row r="37">
      <c r="A37" s="13" t="inlineStr">
        <is>
          <t>VO_S1_005</t>
        </is>
      </c>
      <c r="B37" s="13" t="inlineStr">
        <is>
          <t>S1</t>
        </is>
      </c>
      <c r="C37" s="13" t="inlineStr">
        <is>
          <t>没有温度的声音</t>
        </is>
      </c>
      <c r="D37" s="13" t="inlineStr">
        <is>
          <t>Agent询问</t>
        </is>
      </c>
      <c r="E37" s="13" t="inlineStr">
        <is>
          <t>是否要进一步查看信息？</t>
        </is>
      </c>
      <c r="F37" s="13" t="inlineStr">
        <is>
          <t>平稳、无情绪、语速均匀</t>
        </is>
      </c>
      <c r="G37" s="13" t="inlineStr">
        <is>
          <t>是</t>
        </is>
      </c>
      <c r="H37" s="13" t="inlineStr"/>
      <c r="I37" s="14">
        <f>LEN(E37)</f>
        <v/>
      </c>
      <c r="J37" s="14">
        <f>ROUND(I37/$M$3+0.4,1)</f>
        <v/>
      </c>
    </row>
    <row r="38">
      <c r="A38" s="15" t="inlineStr">
        <is>
          <t>VO_S2_001</t>
        </is>
      </c>
      <c r="B38" s="15" t="inlineStr">
        <is>
          <t>S2</t>
        </is>
      </c>
      <c r="C38" s="15" t="inlineStr">
        <is>
          <t>没有温度的声音</t>
        </is>
      </c>
      <c r="D38" s="15" t="inlineStr">
        <is>
          <t>Agent弹窗</t>
        </is>
      </c>
      <c r="E38" s="15" t="inlineStr">
        <is>
          <t>关联视图正在展开……</t>
        </is>
      </c>
      <c r="F38" s="15" t="inlineStr">
        <is>
          <t>平稳、无情绪、语速均匀</t>
        </is>
      </c>
      <c r="G38" s="15" t="inlineStr">
        <is>
          <t>是</t>
        </is>
      </c>
      <c r="H38" s="15" t="inlineStr"/>
      <c r="I38" s="16">
        <f>LEN(E38)</f>
        <v/>
      </c>
      <c r="J38" s="16">
        <f>ROUND(I38/$M$3+0.4,1)</f>
        <v/>
      </c>
    </row>
    <row r="39">
      <c r="A39" s="15" t="inlineStr">
        <is>
          <t>VO_S2_002</t>
        </is>
      </c>
      <c r="B39" s="15" t="inlineStr">
        <is>
          <t>S2</t>
        </is>
      </c>
      <c r="C39" s="15" t="inlineStr">
        <is>
          <t>没有温度的声音</t>
        </is>
      </c>
      <c r="D39" s="15" t="inlineStr">
        <is>
          <t>Agent弹窗</t>
        </is>
      </c>
      <c r="E39" s="15" t="inlineStr">
        <is>
          <t>已在本概念层展开重新分析。扫描全局状态。</t>
        </is>
      </c>
      <c r="F39" s="15" t="inlineStr">
        <is>
          <t>平稳、无情绪、语速均匀</t>
        </is>
      </c>
      <c r="G39" s="15" t="inlineStr">
        <is>
          <t>是</t>
        </is>
      </c>
      <c r="H39" s="15" t="inlineStr"/>
      <c r="I39" s="16">
        <f>LEN(E39)</f>
        <v/>
      </c>
      <c r="J39" s="16">
        <f>ROUND(I39/$M$3+0.4,1)</f>
        <v/>
      </c>
    </row>
    <row r="40">
      <c r="A40" s="15" t="inlineStr">
        <is>
          <t>VO_S2_003</t>
        </is>
      </c>
      <c r="B40" s="15" t="inlineStr">
        <is>
          <t>S2</t>
        </is>
      </c>
      <c r="C40" s="15" t="inlineStr">
        <is>
          <t>没有温度的声音</t>
        </is>
      </c>
      <c r="D40" s="15" t="inlineStr">
        <is>
          <t>Agent弹窗</t>
        </is>
      </c>
      <c r="E40" s="15" t="inlineStr">
        <is>
          <t>问题定位：远端生产系统增长缓滞，判断首要可能性为供给层资源供应不足。建议从支撑系统开始修复。</t>
        </is>
      </c>
      <c r="F40" s="15" t="inlineStr">
        <is>
          <t>平稳、无情绪、语速均匀</t>
        </is>
      </c>
      <c r="G40" s="15" t="inlineStr">
        <is>
          <t>是</t>
        </is>
      </c>
      <c r="H40" s="15" t="inlineStr"/>
      <c r="I40" s="16">
        <f>LEN(E40)</f>
        <v/>
      </c>
      <c r="J40" s="16">
        <f>ROUND(I40/$M$3+0.4,1)</f>
        <v/>
      </c>
    </row>
    <row r="41">
      <c r="A41" s="15" t="inlineStr">
        <is>
          <t>VO_S2_004</t>
        </is>
      </c>
      <c r="B41" s="15" t="inlineStr">
        <is>
          <t>S2</t>
        </is>
      </c>
      <c r="C41" s="15" t="inlineStr">
        <is>
          <t>亲切的声音</t>
        </is>
      </c>
      <c r="D41" s="15" t="inlineStr">
        <is>
          <t>字幕</t>
        </is>
      </c>
      <c r="E41" s="15" t="inlineStr">
        <is>
          <t>看来你的Agent在系统层面的架构设计上仍然有所短板。</t>
        </is>
      </c>
      <c r="F41" s="15" t="inlineStr">
        <is>
          <t>略带调侃 Agent</t>
        </is>
      </c>
      <c r="G41" s="15" t="inlineStr">
        <is>
          <t>是</t>
        </is>
      </c>
      <c r="H41" s="15" t="inlineStr"/>
      <c r="I41" s="16">
        <f>LEN(E41)</f>
        <v/>
      </c>
      <c r="J41" s="16">
        <f>ROUND(I41/$M$3+0.4,1)</f>
        <v/>
      </c>
    </row>
    <row r="42">
      <c r="A42" s="15" t="inlineStr">
        <is>
          <t>VO_S2_005</t>
        </is>
      </c>
      <c r="B42" s="15" t="inlineStr">
        <is>
          <t>S2</t>
        </is>
      </c>
      <c r="C42" s="15" t="inlineStr">
        <is>
          <t>亲切的声音</t>
        </is>
      </c>
      <c r="D42" s="15" t="inlineStr">
        <is>
          <t>Agent弹窗</t>
        </is>
      </c>
      <c r="E42" s="15" t="inlineStr">
        <is>
          <t>看起来这里有两个本该连接的系统断开了，请你仔细观察并回想如何修复这些异常节点吧。</t>
        </is>
      </c>
      <c r="F42" s="15" t="inlineStr">
        <is>
          <t>引导观察</t>
        </is>
      </c>
      <c r="G42" s="15" t="inlineStr">
        <is>
          <t>是</t>
        </is>
      </c>
      <c r="H42" s="15" t="inlineStr">
        <is>
          <t>表里通道是 Agent 弹窗，但说话人是亲切的声音</t>
        </is>
      </c>
      <c r="I42" s="16">
        <f>LEN(E42)</f>
        <v/>
      </c>
      <c r="J42" s="16">
        <f>ROUND(I42/$M$3+0.4,1)</f>
        <v/>
      </c>
    </row>
    <row r="43">
      <c r="A43" s="15" t="inlineStr">
        <is>
          <t>VO_S2_W01</t>
        </is>
      </c>
      <c r="B43" s="15" t="inlineStr">
        <is>
          <t>S2</t>
        </is>
      </c>
      <c r="C43" s="15" t="inlineStr">
        <is>
          <t>没有温度的声音</t>
        </is>
      </c>
      <c r="D43" s="15" t="inlineStr">
        <is>
          <t>Agent弹窗</t>
        </is>
      </c>
      <c r="E43" s="15" t="inlineStr">
        <is>
          <t>需要从支撑系统开始。</t>
        </is>
      </c>
      <c r="F43" s="15" t="inlineStr">
        <is>
          <t>平稳、无情绪、语速均匀</t>
        </is>
      </c>
      <c r="G43" s="15" t="inlineStr">
        <is>
          <t>是</t>
        </is>
      </c>
      <c r="H43" s="15" t="inlineStr"/>
      <c r="I43" s="16">
        <f>LEN(E43)</f>
        <v/>
      </c>
      <c r="J43" s="16">
        <f>ROUND(I43/$M$3+0.4,1)</f>
        <v/>
      </c>
    </row>
    <row r="44">
      <c r="A44" s="15" t="inlineStr">
        <is>
          <t>VO_S2_006</t>
        </is>
      </c>
      <c r="B44" s="15" t="inlineStr">
        <is>
          <t>S2</t>
        </is>
      </c>
      <c r="C44" s="15" t="inlineStr">
        <is>
          <t>亲切的声音</t>
        </is>
      </c>
      <c r="D44" s="15" t="inlineStr">
        <is>
          <t>字幕</t>
        </is>
      </c>
      <c r="E44" s="15" t="inlineStr">
        <is>
          <t>你的关联判断已经恢复。</t>
        </is>
      </c>
      <c r="F44" s="15" t="inlineStr">
        <is>
          <t>肯定</t>
        </is>
      </c>
      <c r="G44" s="15" t="inlineStr">
        <is>
          <t>是</t>
        </is>
      </c>
      <c r="H44" s="15" t="inlineStr"/>
      <c r="I44" s="16">
        <f>LEN(E44)</f>
        <v/>
      </c>
      <c r="J44" s="16">
        <f>ROUND(I44/$M$3+0.4,1)</f>
        <v/>
      </c>
    </row>
    <row r="45">
      <c r="A45" s="15" t="inlineStr">
        <is>
          <t>VO_S2_007</t>
        </is>
      </c>
      <c r="B45" s="15" t="inlineStr">
        <is>
          <t>S2</t>
        </is>
      </c>
      <c r="C45" s="15" t="inlineStr">
        <is>
          <t>亲切的声音</t>
        </is>
      </c>
      <c r="D45" s="15" t="inlineStr">
        <is>
          <t>字幕</t>
        </is>
      </c>
      <c r="E45" s="15" t="inlineStr">
        <is>
          <t>但核心成果的产出问题看起来依然没有解决，也就是说，agent给出的问题诊断没有切中要害。</t>
        </is>
      </c>
      <c r="F45" s="15" t="inlineStr">
        <is>
          <t>转折，认真分析</t>
        </is>
      </c>
      <c r="G45" s="15" t="inlineStr">
        <is>
          <t>是</t>
        </is>
      </c>
      <c r="H45" s="15" t="inlineStr"/>
      <c r="I45" s="16">
        <f>LEN(E45)</f>
        <v/>
      </c>
      <c r="J45" s="16">
        <f>ROUND(I45/$M$3+0.4,1)</f>
        <v/>
      </c>
    </row>
    <row r="46">
      <c r="A46" s="15" t="inlineStr">
        <is>
          <t>VO_S2_008</t>
        </is>
      </c>
      <c r="B46" s="15" t="inlineStr">
        <is>
          <t>S2</t>
        </is>
      </c>
      <c r="C46" s="15" t="inlineStr">
        <is>
          <t>亲切的声音</t>
        </is>
      </c>
      <c r="D46" s="15" t="inlineStr">
        <is>
          <t>字幕</t>
        </is>
      </c>
      <c r="E46" s="15" t="inlineStr">
        <is>
          <t>接下来，我们将进一步还原信息压缩梯度。让我们从更多维的角度寻找机会。</t>
        </is>
      </c>
      <c r="F46" s="15" t="inlineStr">
        <is>
          <t>温柔、亲近</t>
        </is>
      </c>
      <c r="G46" s="15" t="inlineStr">
        <is>
          <t>是</t>
        </is>
      </c>
      <c r="H46" s="15" t="inlineStr"/>
      <c r="I46" s="16">
        <f>LEN(E46)</f>
        <v/>
      </c>
      <c r="J46" s="16">
        <f>ROUND(I46/$M$3+0.4,1)</f>
        <v/>
      </c>
    </row>
    <row r="47">
      <c r="A47" s="15" t="inlineStr">
        <is>
          <t>VO_S2_009</t>
        </is>
      </c>
      <c r="B47" s="15" t="inlineStr">
        <is>
          <t>S2</t>
        </is>
      </c>
      <c r="C47" s="15" t="inlineStr">
        <is>
          <t>没有温度的声音</t>
        </is>
      </c>
      <c r="D47" s="15" t="inlineStr">
        <is>
          <t>Agent询问</t>
        </is>
      </c>
      <c r="E47" s="15" t="inlineStr">
        <is>
          <t>供给已恢复，但核心产出仍然异常。是否要进一步查看信息？</t>
        </is>
      </c>
      <c r="F47" s="15" t="inlineStr">
        <is>
          <t>平稳、无情绪、语速均匀</t>
        </is>
      </c>
      <c r="G47" s="15" t="inlineStr">
        <is>
          <t>是</t>
        </is>
      </c>
      <c r="H47" s="15" t="inlineStr"/>
      <c r="I47" s="16">
        <f>LEN(E47)</f>
        <v/>
      </c>
      <c r="J47" s="16">
        <f>ROUND(I47/$M$3+0.4,1)</f>
        <v/>
      </c>
    </row>
    <row r="48">
      <c r="A48" s="17" t="inlineStr">
        <is>
          <t>VO_S3_001</t>
        </is>
      </c>
      <c r="B48" s="17" t="inlineStr">
        <is>
          <t>S3</t>
        </is>
      </c>
      <c r="C48" s="17" t="inlineStr">
        <is>
          <t>没有温度的声音</t>
        </is>
      </c>
      <c r="D48" s="17" t="inlineStr">
        <is>
          <t>Agent弹窗</t>
        </is>
      </c>
      <c r="E48" s="17" t="inlineStr">
        <is>
          <t>已在本概念层展开重新分析。扫描全局状态。</t>
        </is>
      </c>
      <c r="F48" s="17" t="inlineStr">
        <is>
          <t>平稳、无情绪、语速均匀</t>
        </is>
      </c>
      <c r="G48" s="17" t="inlineStr">
        <is>
          <t>是</t>
        </is>
      </c>
      <c r="H48" s="17" t="inlineStr"/>
      <c r="I48" s="18">
        <f>LEN(E48)</f>
        <v/>
      </c>
      <c r="J48" s="18">
        <f>ROUND(I48/$M$3+0.4,1)</f>
        <v/>
      </c>
    </row>
    <row r="49">
      <c r="A49" s="17" t="inlineStr">
        <is>
          <t>VO_S3_002</t>
        </is>
      </c>
      <c r="B49" s="17" t="inlineStr">
        <is>
          <t>S3</t>
        </is>
      </c>
      <c r="C49" s="17" t="inlineStr">
        <is>
          <t>没有温度的声音</t>
        </is>
      </c>
      <c r="D49" s="17" t="inlineStr">
        <is>
          <t>Agent弹窗</t>
        </is>
      </c>
      <c r="E49" s="17" t="inlineStr">
        <is>
          <t>已重新修正问题定位；检测到局部流量异常，推测为木马活动。进入人工确认程序。</t>
        </is>
      </c>
      <c r="F49" s="17" t="inlineStr">
        <is>
          <t>平稳、无情绪、语速均匀</t>
        </is>
      </c>
      <c r="G49" s="17" t="inlineStr">
        <is>
          <t>是</t>
        </is>
      </c>
      <c r="H49" s="17" t="inlineStr"/>
      <c r="I49" s="18">
        <f>LEN(E49)</f>
        <v/>
      </c>
      <c r="J49" s="18">
        <f>ROUND(I49/$M$3+0.4,1)</f>
        <v/>
      </c>
    </row>
    <row r="50">
      <c r="A50" s="17" t="inlineStr">
        <is>
          <t>VO_S3_003</t>
        </is>
      </c>
      <c r="B50" s="17" t="inlineStr">
        <is>
          <t>S3</t>
        </is>
      </c>
      <c r="C50" s="17" t="inlineStr">
        <is>
          <t>没有温度的声音</t>
        </is>
      </c>
      <c r="D50" s="17" t="inlineStr">
        <is>
          <t>Agent弹窗</t>
        </is>
      </c>
      <c r="E50" s="17" t="inlineStr">
        <is>
          <t>RGB模式已恢复。</t>
        </is>
      </c>
      <c r="F50" s="17" t="inlineStr">
        <is>
          <t>平稳、无情绪、语速均匀</t>
        </is>
      </c>
      <c r="G50" s="17" t="inlineStr">
        <is>
          <t>是</t>
        </is>
      </c>
      <c r="H50" s="17" t="inlineStr"/>
      <c r="I50" s="18">
        <f>LEN(E50)</f>
        <v/>
      </c>
      <c r="J50" s="18">
        <f>ROUND(I50/$M$3+0.4,1)</f>
        <v/>
      </c>
    </row>
    <row r="51">
      <c r="A51" s="17" t="inlineStr">
        <is>
          <t>VO_S3_004</t>
        </is>
      </c>
      <c r="B51" s="17" t="inlineStr">
        <is>
          <t>S3</t>
        </is>
      </c>
      <c r="C51" s="17" t="inlineStr">
        <is>
          <t>没有温度的声音</t>
        </is>
      </c>
      <c r="D51" s="17" t="inlineStr">
        <is>
          <t>Agent弹窗</t>
        </is>
      </c>
      <c r="E51" s="17" t="inlineStr">
        <is>
          <t>空间视觉已恢复。</t>
        </is>
      </c>
      <c r="F51" s="17" t="inlineStr">
        <is>
          <t>平稳、无情绪、语速均匀</t>
        </is>
      </c>
      <c r="G51" s="17" t="inlineStr">
        <is>
          <t>是</t>
        </is>
      </c>
      <c r="H51" s="17" t="inlineStr"/>
      <c r="I51" s="18">
        <f>LEN(E51)</f>
        <v/>
      </c>
      <c r="J51" s="18">
        <f>ROUND(I51/$M$3+0.4,1)</f>
        <v/>
      </c>
    </row>
    <row r="52">
      <c r="A52" s="17" t="inlineStr">
        <is>
          <t>VO_S3_005</t>
        </is>
      </c>
      <c r="B52" s="17" t="inlineStr">
        <is>
          <t>S3</t>
        </is>
      </c>
      <c r="C52" s="17" t="inlineStr">
        <is>
          <t>没有温度的声音</t>
        </is>
      </c>
      <c r="D52" s="17" t="inlineStr">
        <is>
          <t>Agent弹窗</t>
        </is>
      </c>
      <c r="E52" s="17" t="inlineStr">
        <is>
          <t>空白处拖拽可观察到扫描死角，右键查看详细信息，判断为异常节点时，请点击标记该可疑节点。</t>
        </is>
      </c>
      <c r="F52" s="17" t="inlineStr">
        <is>
          <t>平稳、无情绪、语速均匀</t>
        </is>
      </c>
      <c r="G52" s="17" t="inlineStr">
        <is>
          <t>是</t>
        </is>
      </c>
      <c r="H52" s="17" t="inlineStr"/>
      <c r="I52" s="18">
        <f>LEN(E52)</f>
        <v/>
      </c>
      <c r="J52" s="18">
        <f>ROUND(I52/$M$3+0.4,1)</f>
        <v/>
      </c>
    </row>
    <row r="53">
      <c r="A53" s="17" t="inlineStr">
        <is>
          <t>VO_S3_006</t>
        </is>
      </c>
      <c r="B53" s="17" t="inlineStr">
        <is>
          <t>S3</t>
        </is>
      </c>
      <c r="C53" s="17" t="inlineStr">
        <is>
          <t>亲切的声音</t>
        </is>
      </c>
      <c r="D53" s="17" t="inlineStr">
        <is>
          <t>字幕</t>
        </is>
      </c>
      <c r="E53" s="17" t="inlineStr">
        <is>
          <t>看！原来是「bugs」。现在是捉虫时间。</t>
        </is>
      </c>
      <c r="F53" s="17" t="inlineStr">
        <is>
          <t>惊喜、俏皮（bugs 双关）</t>
        </is>
      </c>
      <c r="G53" s="17" t="inlineStr">
        <is>
          <t>是</t>
        </is>
      </c>
      <c r="H53" s="17" t="inlineStr"/>
      <c r="I53" s="18">
        <f>LEN(E53)</f>
        <v/>
      </c>
      <c r="J53" s="18">
        <f>ROUND(I53/$M$3+0.4,1)</f>
        <v/>
      </c>
    </row>
    <row r="54">
      <c r="A54" s="17" t="inlineStr">
        <is>
          <t>VO_S3_007</t>
        </is>
      </c>
      <c r="B54" s="17" t="inlineStr">
        <is>
          <t>S3</t>
        </is>
      </c>
      <c r="C54" s="17" t="inlineStr">
        <is>
          <t>没有温度的声音</t>
        </is>
      </c>
      <c r="D54" s="17" t="inlineStr">
        <is>
          <t>Agent弹窗</t>
        </is>
      </c>
      <c r="E54" s="17" t="inlineStr">
        <is>
          <t>已标记全部异常个体。</t>
        </is>
      </c>
      <c r="F54" s="17" t="inlineStr">
        <is>
          <t>平稳、无情绪、语速均匀</t>
        </is>
      </c>
      <c r="G54" s="17" t="inlineStr">
        <is>
          <t>是</t>
        </is>
      </c>
      <c r="H54" s="17" t="inlineStr"/>
      <c r="I54" s="18">
        <f>LEN(E54)</f>
        <v/>
      </c>
      <c r="J54" s="18">
        <f>ROUND(I54/$M$3+0.4,1)</f>
        <v/>
      </c>
    </row>
    <row r="55">
      <c r="A55" s="17" t="inlineStr">
        <is>
          <t>VO_S3_008</t>
        </is>
      </c>
      <c r="B55" s="17" t="inlineStr">
        <is>
          <t>S3</t>
        </is>
      </c>
      <c r="C55" s="17" t="inlineStr">
        <is>
          <t>亲切的声音</t>
        </is>
      </c>
      <c r="D55" s="17" t="inlineStr">
        <is>
          <t>字幕</t>
        </is>
      </c>
      <c r="E55" s="17" t="inlineStr">
        <is>
          <t>这些bugs一直都存在。</t>
        </is>
      </c>
      <c r="F55" s="17" t="inlineStr">
        <is>
          <t>放慢，开始走心</t>
        </is>
      </c>
      <c r="G55" s="17" t="inlineStr">
        <is>
          <t>是</t>
        </is>
      </c>
      <c r="H55" s="17" t="inlineStr"/>
      <c r="I55" s="18">
        <f>LEN(E55)</f>
        <v/>
      </c>
      <c r="J55" s="18">
        <f>ROUND(I55/$M$3+0.4,1)</f>
        <v/>
      </c>
    </row>
    <row r="56">
      <c r="A56" s="17" t="inlineStr">
        <is>
          <t>VO_S3_009</t>
        </is>
      </c>
      <c r="B56" s="17" t="inlineStr">
        <is>
          <t>S3</t>
        </is>
      </c>
      <c r="C56" s="17" t="inlineStr">
        <is>
          <t>亲切的声音</t>
        </is>
      </c>
      <c r="D56" s="17" t="inlineStr">
        <is>
          <t>字幕</t>
        </is>
      </c>
      <c r="E56" s="17" t="inlineStr">
        <is>
          <t>只是过去有agent替你看、替你判断，你便渐渐不再留意。</t>
        </is>
      </c>
      <c r="F56" s="17" t="inlineStr">
        <is>
          <t>温柔、有点感伤</t>
        </is>
      </c>
      <c r="G56" s="17" t="inlineStr">
        <is>
          <t>是</t>
        </is>
      </c>
      <c r="H56" s="17" t="inlineStr"/>
      <c r="I56" s="18">
        <f>LEN(E56)</f>
        <v/>
      </c>
      <c r="J56" s="18">
        <f>ROUND(I56/$M$3+0.4,1)</f>
        <v/>
      </c>
    </row>
    <row r="57">
      <c r="A57" s="17" t="inlineStr">
        <is>
          <t>VO_S3_010</t>
        </is>
      </c>
      <c r="B57" s="17" t="inlineStr">
        <is>
          <t>S3</t>
        </is>
      </c>
      <c r="C57" s="17" t="inlineStr">
        <is>
          <t>亲切的声音</t>
        </is>
      </c>
      <c r="D57" s="17" t="inlineStr">
        <is>
          <t>字幕</t>
        </is>
      </c>
      <c r="E57" s="17" t="inlineStr">
        <is>
          <t>现在，试着用自己的眼睛看一次。</t>
        </is>
      </c>
      <c r="F57" s="17" t="inlineStr">
        <is>
          <t>轻声鼓励，情绪高点之一</t>
        </is>
      </c>
      <c r="G57" s="17" t="inlineStr">
        <is>
          <t>是</t>
        </is>
      </c>
      <c r="H57" s="17" t="inlineStr"/>
      <c r="I57" s="18">
        <f>LEN(E57)</f>
        <v/>
      </c>
      <c r="J57" s="18">
        <f>ROUND(I57/$M$3+0.4,1)</f>
        <v/>
      </c>
    </row>
    <row r="58">
      <c r="A58" s="17" t="inlineStr">
        <is>
          <t>VO_S3_011</t>
        </is>
      </c>
      <c r="B58" s="17" t="inlineStr">
        <is>
          <t>S3</t>
        </is>
      </c>
      <c r="C58" s="17" t="inlineStr">
        <is>
          <t>没有温度的声音</t>
        </is>
      </c>
      <c r="D58" s="17" t="inlineStr">
        <is>
          <t>Agent询问</t>
        </is>
      </c>
      <c r="E58" s="17" t="inlineStr">
        <is>
          <t>警告：检测到高风险操作。推测用户即将执行异常清除指令，考虑到有机系统的脆弱性，我的执行硬件精度可能过低，清除程序可能对会对系统其余部分也造成损伤。是否切换为人工操作？</t>
        </is>
      </c>
      <c r="F58" s="17" t="inlineStr">
        <is>
          <t>警告：语速稍快、音调略高，仍然无情绪</t>
        </is>
      </c>
      <c r="G58" s="17" t="inlineStr">
        <is>
          <t>是</t>
        </is>
      </c>
      <c r="H58" s="17" t="inlineStr">
        <is>
          <t>较长；同时作为 Yes 弹窗正文</t>
        </is>
      </c>
      <c r="I58" s="18">
        <f>LEN(E58)</f>
        <v/>
      </c>
      <c r="J58" s="18">
        <f>ROUND(I58/$M$3+0.4,1)</f>
        <v/>
      </c>
    </row>
    <row r="59">
      <c r="A59" s="19" t="inlineStr">
        <is>
          <t>VO_S4_001</t>
        </is>
      </c>
      <c r="B59" s="19" t="inlineStr">
        <is>
          <t>S4</t>
        </is>
      </c>
      <c r="C59" s="19" t="inlineStr">
        <is>
          <t>没有温度的声音</t>
        </is>
      </c>
      <c r="D59" s="19" t="inlineStr">
        <is>
          <t>Agent弹窗</t>
        </is>
      </c>
      <c r="E59" s="19" t="inlineStr">
        <is>
          <t>正在重建控制器……</t>
        </is>
      </c>
      <c r="F59" s="19" t="inlineStr">
        <is>
          <t>平稳、无情绪、语速均匀</t>
        </is>
      </c>
      <c r="G59" s="19" t="inlineStr">
        <is>
          <t>是</t>
        </is>
      </c>
      <c r="H59" s="19" t="inlineStr"/>
      <c r="I59" s="20">
        <f>LEN(E59)</f>
        <v/>
      </c>
      <c r="J59" s="20">
        <f>ROUND(I59/$M$3+0.4,1)</f>
        <v/>
      </c>
    </row>
    <row r="60">
      <c r="A60" s="19" t="inlineStr">
        <is>
          <t>VO_S4_002</t>
        </is>
      </c>
      <c r="B60" s="19" t="inlineStr">
        <is>
          <t>S4</t>
        </is>
      </c>
      <c r="C60" s="19" t="inlineStr">
        <is>
          <t>没有温度的声音</t>
        </is>
      </c>
      <c r="D60" s="19" t="inlineStr">
        <is>
          <t>Agent弹窗</t>
        </is>
      </c>
      <c r="E60" s="19" t="inlineStr">
        <is>
          <t>直接干预通道部分开放。</t>
        </is>
      </c>
      <c r="F60" s="19" t="inlineStr">
        <is>
          <t>平稳、无情绪、语速均匀</t>
        </is>
      </c>
      <c r="G60" s="19" t="inlineStr">
        <is>
          <t>是</t>
        </is>
      </c>
      <c r="H60" s="19" t="inlineStr"/>
      <c r="I60" s="20">
        <f>LEN(E60)</f>
        <v/>
      </c>
      <c r="J60" s="20">
        <f>ROUND(I60/$M$3+0.4,1)</f>
        <v/>
      </c>
    </row>
    <row r="61">
      <c r="A61" s="19" t="inlineStr">
        <is>
          <t>VO_S4_003</t>
        </is>
      </c>
      <c r="B61" s="19" t="inlineStr">
        <is>
          <t>S4</t>
        </is>
      </c>
      <c r="C61" s="19" t="inlineStr">
        <is>
          <t>没有温度的声音</t>
        </is>
      </c>
      <c r="D61" s="19" t="inlineStr">
        <is>
          <t>Agent弹窗</t>
        </is>
      </c>
      <c r="E61" s="19" t="inlineStr">
        <is>
          <t>触觉系统已恢复。</t>
        </is>
      </c>
      <c r="F61" s="19" t="inlineStr">
        <is>
          <t>平稳、无情绪、语速均匀</t>
        </is>
      </c>
      <c r="G61" s="19" t="inlineStr">
        <is>
          <t>是</t>
        </is>
      </c>
      <c r="H61" s="19" t="inlineStr"/>
      <c r="I61" s="20">
        <f>LEN(E61)</f>
        <v/>
      </c>
      <c r="J61" s="20">
        <f>ROUND(I61/$M$3+0.4,1)</f>
        <v/>
      </c>
    </row>
    <row r="62">
      <c r="A62" s="19" t="inlineStr">
        <is>
          <t>VO_S4_004</t>
        </is>
      </c>
      <c r="B62" s="19" t="inlineStr">
        <is>
          <t>S4</t>
        </is>
      </c>
      <c r="C62" s="19" t="inlineStr">
        <is>
          <t>没有温度的声音</t>
        </is>
      </c>
      <c r="D62" s="19" t="inlineStr">
        <is>
          <t>Agent弹窗</t>
        </is>
      </c>
      <c r="E62" s="19" t="inlineStr">
        <is>
          <t>检查叶片背面，找到上一步中发现的bugs并点击移除。</t>
        </is>
      </c>
      <c r="F62" s="19" t="inlineStr">
        <is>
          <t>平稳、无情绪、语速均匀</t>
        </is>
      </c>
      <c r="G62" s="19" t="inlineStr">
        <is>
          <t>是</t>
        </is>
      </c>
      <c r="H62" s="19" t="inlineStr"/>
      <c r="I62" s="20">
        <f>LEN(E62)</f>
        <v/>
      </c>
      <c r="J62" s="20">
        <f>ROUND(I62/$M$3+0.4,1)</f>
        <v/>
      </c>
    </row>
    <row r="63">
      <c r="A63" s="19" t="inlineStr">
        <is>
          <t>VO_S4_005</t>
        </is>
      </c>
      <c r="B63" s="19" t="inlineStr">
        <is>
          <t>S4</t>
        </is>
      </c>
      <c r="C63" s="19" t="inlineStr">
        <is>
          <t>没有温度的声音</t>
        </is>
      </c>
      <c r="D63" s="19" t="inlineStr">
        <is>
          <t>Agent弹窗</t>
        </is>
      </c>
      <c r="E63" s="19" t="inlineStr">
        <is>
          <t>成功发现异常目标，系统将进一步恢复物理视觉重建。</t>
        </is>
      </c>
      <c r="F63" s="19" t="inlineStr">
        <is>
          <t>平稳、无情绪、语速均匀</t>
        </is>
      </c>
      <c r="G63" s="19" t="inlineStr">
        <is>
          <t>是</t>
        </is>
      </c>
      <c r="H63" s="19" t="inlineStr"/>
      <c r="I63" s="20">
        <f>LEN(E63)</f>
        <v/>
      </c>
      <c r="J63" s="20">
        <f>ROUND(I63/$M$3+0.4,1)</f>
        <v/>
      </c>
    </row>
    <row r="64">
      <c r="A64" s="19" t="inlineStr">
        <is>
          <t>VO_S4_006</t>
        </is>
      </c>
      <c r="B64" s="19" t="inlineStr">
        <is>
          <t>S4</t>
        </is>
      </c>
      <c r="C64" s="19" t="inlineStr">
        <is>
          <t>亲切的声音</t>
        </is>
      </c>
      <c r="D64" s="19" t="inlineStr">
        <is>
          <t>字幕</t>
        </is>
      </c>
      <c r="E64" s="19" t="inlineStr">
        <is>
          <t>你已经能够通过自己的观察修正Agent的判断。</t>
        </is>
      </c>
      <c r="F64" s="19" t="inlineStr">
        <is>
          <t>真诚的骄傲</t>
        </is>
      </c>
      <c r="G64" s="19" t="inlineStr">
        <is>
          <t>是</t>
        </is>
      </c>
      <c r="H64" s="19" t="inlineStr"/>
      <c r="I64" s="20">
        <f>LEN(E64)</f>
        <v/>
      </c>
      <c r="J64" s="20">
        <f>ROUND(I64/$M$3+0.4,1)</f>
        <v/>
      </c>
    </row>
    <row r="65">
      <c r="A65" s="19" t="inlineStr">
        <is>
          <t>VO_S4_007</t>
        </is>
      </c>
      <c r="B65" s="19" t="inlineStr">
        <is>
          <t>S4</t>
        </is>
      </c>
      <c r="C65" s="19" t="inlineStr">
        <is>
          <t>亲切的声音</t>
        </is>
      </c>
      <c r="D65" s="19" t="inlineStr">
        <is>
          <t>字幕</t>
        </is>
      </c>
      <c r="E65" s="19" t="inlineStr">
        <is>
          <t>生命系统是复杂的。但是值得亲自体验它。</t>
        </is>
      </c>
      <c r="F65" s="19" t="inlineStr">
        <is>
          <t>平静、深情</t>
        </is>
      </c>
      <c r="G65" s="19" t="inlineStr">
        <is>
          <t>是</t>
        </is>
      </c>
      <c r="H65" s="19" t="inlineStr"/>
      <c r="I65" s="20">
        <f>LEN(E65)</f>
        <v/>
      </c>
      <c r="J65" s="20">
        <f>ROUND(I65/$M$3+0.4,1)</f>
        <v/>
      </c>
    </row>
    <row r="66">
      <c r="A66" s="19" t="inlineStr">
        <is>
          <t>VO_S4_008</t>
        </is>
      </c>
      <c r="B66" s="19" t="inlineStr">
        <is>
          <t>S4</t>
        </is>
      </c>
      <c r="C66" s="19" t="inlineStr">
        <is>
          <t>亲切的声音</t>
        </is>
      </c>
      <c r="D66" s="19" t="inlineStr">
        <is>
          <t>字幕</t>
        </is>
      </c>
      <c r="E66" s="19" t="inlineStr">
        <is>
          <t>水要先抵达根，叶片要重新展开，花朵也需要时间留下果实。</t>
        </is>
      </c>
      <c r="F66" s="19" t="inlineStr">
        <is>
          <t>像念诗，慢</t>
        </is>
      </c>
      <c r="G66" s="19" t="inlineStr">
        <is>
          <t>是</t>
        </is>
      </c>
      <c r="H66" s="19" t="inlineStr"/>
      <c r="I66" s="20">
        <f>LEN(E66)</f>
        <v/>
      </c>
      <c r="J66" s="20">
        <f>ROUND(I66/$M$3+0.4,1)</f>
        <v/>
      </c>
    </row>
    <row r="67">
      <c r="A67" s="21" t="inlineStr">
        <is>
          <t>VO_PICK_001</t>
        </is>
      </c>
      <c r="B67" s="21" t="inlineStr">
        <is>
          <t>PICK</t>
        </is>
      </c>
      <c r="C67" s="21" t="inlineStr">
        <is>
          <t>没有温度的声音</t>
        </is>
      </c>
      <c r="D67" s="21" t="inlineStr">
        <is>
          <t>Agent弹窗</t>
        </is>
      </c>
      <c r="E67" s="21" t="inlineStr">
        <is>
          <t>义体控制权限已被用户回收。</t>
        </is>
      </c>
      <c r="F67" s="21" t="inlineStr">
        <is>
          <t>可加一点“关机 / 断电”感的处理</t>
        </is>
      </c>
      <c r="G67" s="21" t="inlineStr">
        <is>
          <t>是</t>
        </is>
      </c>
      <c r="H67" s="21" t="inlineStr"/>
      <c r="I67" s="22">
        <f>LEN(E67)</f>
        <v/>
      </c>
      <c r="J67" s="22">
        <f>ROUND(I67/$M$3+0.4,1)</f>
        <v/>
      </c>
    </row>
    <row r="68">
      <c r="A68" s="21" t="inlineStr">
        <is>
          <t>VO_PICK_002</t>
        </is>
      </c>
      <c r="B68" s="21" t="inlineStr">
        <is>
          <t>PICK</t>
        </is>
      </c>
      <c r="C68" s="21" t="inlineStr">
        <is>
          <t>没有温度的声音</t>
        </is>
      </c>
      <c r="D68" s="21" t="inlineStr">
        <is>
          <t>Agent弹窗</t>
        </is>
      </c>
      <c r="E68" s="21" t="inlineStr">
        <is>
          <t>您已退出全能代理模式。</t>
        </is>
      </c>
      <c r="F68" s="21" t="inlineStr">
        <is>
          <t>同上，Agent 退场</t>
        </is>
      </c>
      <c r="G68" s="21" t="inlineStr">
        <is>
          <t>是</t>
        </is>
      </c>
      <c r="H68" s="21" t="inlineStr"/>
      <c r="I68" s="22">
        <f>LEN(E68)</f>
        <v/>
      </c>
      <c r="J68" s="22">
        <f>ROUND(I68/$M$3+0.4,1)</f>
        <v/>
      </c>
    </row>
    <row r="69">
      <c r="A69" s="21" t="inlineStr">
        <is>
          <t>VO_PICK_004</t>
        </is>
      </c>
      <c r="B69" s="21" t="inlineStr">
        <is>
          <t>PICK</t>
        </is>
      </c>
      <c r="C69" s="21" t="inlineStr">
        <is>
          <t>亲切的声音</t>
        </is>
      </c>
      <c r="D69" s="21" t="inlineStr">
        <is>
          <t>字幕</t>
        </is>
      </c>
      <c r="E69" s="21" t="inlineStr">
        <is>
          <t>你眼前这颗植物是我们为你植入的“后门”，其中有一颗是退出agent深度代理模式的”确认钥匙“。</t>
        </is>
      </c>
      <c r="F69" s="21" t="inlineStr">
        <is>
          <t>期待、温柔</t>
        </is>
      </c>
      <c r="G69" s="21" t="inlineStr">
        <is>
          <t>是</t>
        </is>
      </c>
      <c r="H69" s="21" t="inlineStr"/>
      <c r="I69" s="22">
        <f>LEN(E69)</f>
        <v/>
      </c>
      <c r="J69" s="22">
        <f>ROUND(I69/$M$3+0.4,1)</f>
        <v/>
      </c>
    </row>
    <row r="70">
      <c r="A70" s="21" t="inlineStr">
        <is>
          <t>VO_PICK_005</t>
        </is>
      </c>
      <c r="B70" s="21" t="inlineStr">
        <is>
          <t>PICK</t>
        </is>
      </c>
      <c r="C70" s="21" t="inlineStr">
        <is>
          <t>亲切的声音</t>
        </is>
      </c>
      <c r="D70" s="21" t="inlineStr">
        <is>
          <t>字幕</t>
        </is>
      </c>
      <c r="E70" s="21" t="inlineStr">
        <is>
          <t>去找到属于你的那一颗胜利果实吧。</t>
        </is>
      </c>
      <c r="F70" s="21" t="inlineStr">
        <is>
          <t>鼓励，带笑意</t>
        </is>
      </c>
      <c r="G70" s="21" t="inlineStr">
        <is>
          <t>是</t>
        </is>
      </c>
      <c r="H70" s="21" t="inlineStr"/>
      <c r="I70" s="22">
        <f>LEN(E70)</f>
        <v/>
      </c>
      <c r="J70" s="22">
        <f>ROUND(I70/$M$3+0.4,1)</f>
        <v/>
      </c>
    </row>
    <row r="71">
      <c r="A71" s="21" t="inlineStr">
        <is>
          <t>VO_PICK_006</t>
        </is>
      </c>
      <c r="B71" s="21" t="inlineStr">
        <is>
          <t>PICK</t>
        </is>
      </c>
      <c r="C71" s="21" t="inlineStr">
        <is>
          <t>亲切的声音</t>
        </is>
      </c>
      <c r="D71" s="21" t="inlineStr">
        <is>
          <t>字幕</t>
        </is>
      </c>
      <c r="E71" s="21" t="inlineStr">
        <is>
          <t>现在，请品尝真实。</t>
        </is>
      </c>
      <c r="F71" s="21" t="inlineStr">
        <is>
          <t>全片最轻、最温柔的一句，留白</t>
        </is>
      </c>
      <c r="G71" s="21" t="inlineStr">
        <is>
          <t>是</t>
        </is>
      </c>
      <c r="H71" s="21" t="inlineStr"/>
      <c r="I71" s="22">
        <f>LEN(E71)</f>
        <v/>
      </c>
      <c r="J71" s="22">
        <f>ROUND(I71/$M$3+0.4,1)</f>
        <v/>
      </c>
    </row>
    <row r="72">
      <c r="A72" s="21" t="inlineStr">
        <is>
          <t>VO_OUTRO_001</t>
        </is>
      </c>
      <c r="B72" s="21" t="inlineStr">
        <is>
          <t>OUTRO</t>
        </is>
      </c>
      <c r="C72" s="21" t="inlineStr">
        <is>
          <t>机械音</t>
        </is>
      </c>
      <c r="D72" s="21" t="inlineStr">
        <is>
          <t>字幕</t>
        </is>
      </c>
      <c r="E72" s="21" t="inlineStr">
        <is>
          <t>Neural activity signals have returned to normal levels.</t>
        </is>
      </c>
      <c r="F72" s="21" t="inlineStr">
        <is>
          <t>治疗仓的提示音，冷静、无情绪；不同于 Agent，是医疗设备</t>
        </is>
      </c>
      <c r="G72" s="21" t="inlineStr">
        <is>
          <t>是</t>
        </is>
      </c>
      <c r="H72" s="21" t="inlineStr">
        <is>
          <t>Outro 视频内对白，全部走字幕。原文：神经活跃信号恢复正常指标。</t>
        </is>
      </c>
      <c r="I72" s="22">
        <f>LEN(TRIM(E72))-LEN(SUBSTITUTE(E72," ",""))+1</f>
        <v/>
      </c>
      <c r="J72" s="22">
        <f>ROUND(I72/2.5+0.4,1)</f>
        <v/>
      </c>
    </row>
    <row r="73">
      <c r="A73" s="21" t="inlineStr">
        <is>
          <t>VO_OUTRO_002</t>
        </is>
      </c>
      <c r="B73" s="21" t="inlineStr">
        <is>
          <t>OUTRO</t>
        </is>
      </c>
      <c r="C73" s="21" t="inlineStr">
        <is>
          <t>母亲（女声）</t>
        </is>
      </c>
      <c r="D73" s="21" t="inlineStr">
        <is>
          <t>字幕</t>
        </is>
      </c>
      <c r="E73" s="21" t="inlineStr">
        <is>
          <t>Did she just blink?</t>
        </is>
      </c>
      <c r="F73" s="21" t="inlineStr">
        <is>
          <t>紧张、不敢相信，压低声音</t>
        </is>
      </c>
      <c r="G73" s="21" t="inlineStr">
        <is>
          <t>是</t>
        </is>
      </c>
      <c r="H73" s="21" t="inlineStr">
        <is>
          <t>Outro 视频内对白，全部走字幕。原文：眨眼了？</t>
        </is>
      </c>
      <c r="I73" s="22">
        <f>LEN(TRIM(E73))-LEN(SUBSTITUTE(E73," ",""))+1</f>
        <v/>
      </c>
      <c r="J73" s="22">
        <f>ROUND(I73/2.5+0.4,1)</f>
        <v/>
      </c>
    </row>
    <row r="74">
      <c r="A74" s="21" t="inlineStr">
        <is>
          <t>VO_OUTRO_003</t>
        </is>
      </c>
      <c r="B74" s="21" t="inlineStr">
        <is>
          <t>OUTRO</t>
        </is>
      </c>
      <c r="C74" s="21" t="inlineStr">
        <is>
          <t>医生（男声）</t>
        </is>
      </c>
      <c r="D74" s="21" t="inlineStr">
        <is>
          <t>字幕</t>
        </is>
      </c>
      <c r="E74" s="21" t="inlineStr">
        <is>
          <t>She's awake!</t>
        </is>
      </c>
      <c r="F74" s="21" t="inlineStr">
        <is>
          <t>惊喜，脱口而出</t>
        </is>
      </c>
      <c r="G74" s="21" t="inlineStr">
        <is>
          <t>是</t>
        </is>
      </c>
      <c r="H74" s="21" t="inlineStr">
        <is>
          <t>Outro 视频内对白，全部走字幕。原文：醒了！</t>
        </is>
      </c>
      <c r="I74" s="22">
        <f>LEN(TRIM(E74))-LEN(SUBSTITUTE(E74," ",""))+1</f>
        <v/>
      </c>
      <c r="J74" s="22">
        <f>ROUND(I74/2.5+0.4,1)</f>
        <v/>
      </c>
    </row>
    <row r="75">
      <c r="A75" s="21" t="inlineStr">
        <is>
          <t>VO_OUTRO_004</t>
        </is>
      </c>
      <c r="B75" s="21" t="inlineStr">
        <is>
          <t>OUTRO</t>
        </is>
      </c>
      <c r="C75" s="21" t="inlineStr">
        <is>
          <t>医生（女声）</t>
        </is>
      </c>
      <c r="D75" s="21" t="inlineStr">
        <is>
          <t>字幕</t>
        </is>
      </c>
      <c r="E75" s="21" t="inlineStr">
        <is>
          <t>Yes, she's awake.</t>
        </is>
      </c>
      <c r="F75" s="21" t="inlineStr">
        <is>
          <t>平稳确认，带一点欣慰</t>
        </is>
      </c>
      <c r="G75" s="21" t="inlineStr">
        <is>
          <t>是</t>
        </is>
      </c>
      <c r="H75" s="21" t="inlineStr">
        <is>
          <t>Outro 视频内对白，全部走字幕。原文：是的，她醒了。</t>
        </is>
      </c>
      <c r="I75" s="22">
        <f>LEN(TRIM(E75))-LEN(SUBSTITUTE(E75," ",""))+1</f>
        <v/>
      </c>
      <c r="J75" s="22">
        <f>ROUND(I75/2.5+0.4,1)</f>
        <v/>
      </c>
    </row>
    <row r="76">
      <c r="A76" s="21" t="inlineStr">
        <is>
          <t>VO_OUTRO_005</t>
        </is>
      </c>
      <c r="B76" s="21" t="inlineStr">
        <is>
          <t>OUTRO</t>
        </is>
      </c>
      <c r="C76" s="21" t="inlineStr">
        <is>
          <t>亲切的声音</t>
        </is>
      </c>
      <c r="D76" s="21" t="inlineStr">
        <is>
          <t>字幕</t>
        </is>
      </c>
      <c r="E76" s="21" t="inlineStr">
        <is>
          <t>Hey, lucky one. For a patient with severe Cognitive Impoverishment Syndrome, to complete your perceptual recovery by following the guidance in such a short time... that's truly remarkable.</t>
        </is>
      </c>
      <c r="F76" s="21" t="inlineStr">
        <is>
          <t>治疗师背对画面，越肩镜头；就是游戏里一直引导你的那个温柔女声，现在第一次以真人出现</t>
        </is>
      </c>
      <c r="G76" s="21" t="inlineStr">
        <is>
          <t>是</t>
        </is>
      </c>
      <c r="H76" s="21" t="inlineStr">
        <is>
          <t>Outro 视频内对白，全部走字幕。原文：嗨，幸运儿。作为一个认知贫化症重度患者，在这么短的时间内就成功跟随指引完成了感知恢复，真是令人惊讶。</t>
        </is>
      </c>
      <c r="I76" s="22">
        <f>LEN(TRIM(E76))-LEN(SUBSTITUTE(E76," ",""))+1</f>
        <v/>
      </c>
      <c r="J76" s="22">
        <f>ROUND(I76/2.5+0.4,1)</f>
        <v/>
      </c>
    </row>
    <row r="77">
      <c r="A77" s="21" t="inlineStr">
        <is>
          <t>VO_OUTRO_006</t>
        </is>
      </c>
      <c r="B77" s="21" t="inlineStr">
        <is>
          <t>OUTRO</t>
        </is>
      </c>
      <c r="C77" s="21" t="inlineStr">
        <is>
          <t>亲切的声音</t>
        </is>
      </c>
      <c r="D77" s="21" t="inlineStr">
        <is>
          <t>字幕</t>
        </is>
      </c>
      <c r="E77" s="21" t="inlineStr">
        <is>
          <t>Looks like the gift your mother brought really did reach your soul. Your ghost.</t>
        </is>
      </c>
      <c r="F77" s="21" t="inlineStr">
        <is>
          <t>镜头切到窗台的番茄；温柔，带笑意，ghost 点题</t>
        </is>
      </c>
      <c r="G77" s="21" t="inlineStr">
        <is>
          <t>是</t>
        </is>
      </c>
      <c r="H77" s="21" t="inlineStr">
        <is>
          <t>Outro 视频内对白，全部走字幕。原文：看来你母亲带来的这份礼物，确实到达了你的灵魂（ghost）。</t>
        </is>
      </c>
      <c r="I77" s="22">
        <f>LEN(TRIM(E77))-LEN(SUBSTITUTE(E77," ",""))+1</f>
        <v/>
      </c>
      <c r="J77" s="22">
        <f>ROUND(I77/2.5+0.4,1)</f>
        <v/>
      </c>
    </row>
    <row r="78">
      <c r="A78" s="21" t="inlineStr">
        <is>
          <t>VO_OUTRO_007</t>
        </is>
      </c>
      <c r="B78" s="21" t="inlineStr">
        <is>
          <t>OUTRO</t>
        </is>
      </c>
      <c r="C78" s="21" t="inlineStr">
        <is>
          <t>母亲（女声）</t>
        </is>
      </c>
      <c r="D78" s="21" t="inlineStr">
        <is>
          <t>字幕</t>
        </is>
      </c>
      <c r="E78" s="21" t="inlineStr">
        <is>
          <t>Welcome back.</t>
        </is>
      </c>
      <c r="F78" s="21" t="inlineStr">
        <is>
          <t>从窗外越过番茄往里看，母亲抱住女儿；哽咽、很轻，全片最后一句</t>
        </is>
      </c>
      <c r="G78" s="21" t="inlineStr">
        <is>
          <t>是</t>
        </is>
      </c>
      <c r="H78" s="21" t="inlineStr">
        <is>
          <t>Outro 视频内对白，全部走字幕。原文：欢迎回来。</t>
        </is>
      </c>
      <c r="I78" s="22">
        <f>LEN(TRIM(E78))-LEN(SUBSTITUTE(E78," ",""))+1</f>
        <v/>
      </c>
      <c r="J78" s="22">
        <f>ROUND(I78/2.5+0.4,1)</f>
        <v/>
      </c>
    </row>
  </sheetData>
  <autoFilter ref="A1:J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9" customWidth="1" min="3" max="3"/>
    <col width="18" customWidth="1" min="4" max="4"/>
    <col width="32" customWidth="1" min="5" max="5"/>
    <col width="40" customWidth="1" min="6" max="6"/>
    <col width="10" customWidth="1" min="7" max="7"/>
    <col width="6" customWidth="1" min="8" max="8"/>
    <col width="7" customWidth="1" min="9" max="9"/>
    <col width="7" customWidth="1" min="10" max="10"/>
    <col width="34" customWidth="1" min="11" max="11"/>
  </cols>
  <sheetData>
    <row r="1">
      <c r="A1" s="6" t="inlineStr">
        <is>
          <t>编号</t>
        </is>
      </c>
      <c r="B1" s="6" t="inlineStr">
        <is>
          <t>段落</t>
        </is>
      </c>
      <c r="C1" s="6" t="inlineStr">
        <is>
          <t>类别</t>
        </is>
      </c>
      <c r="D1" s="6" t="inlineStr">
        <is>
          <t>名称</t>
        </is>
      </c>
      <c r="E1" s="6" t="inlineStr">
        <is>
          <t>触发时机</t>
        </is>
      </c>
      <c r="F1" s="6" t="inlineStr">
        <is>
          <t>声音描述 / 参考</t>
        </is>
      </c>
      <c r="G1" s="6" t="inlineStr">
        <is>
          <t>参考时长</t>
        </is>
      </c>
      <c r="H1" s="6" t="inlineStr">
        <is>
          <t>循环</t>
        </is>
      </c>
      <c r="I1" s="6" t="inlineStr">
        <is>
          <t>变体数</t>
        </is>
      </c>
      <c r="J1" s="6" t="inlineStr">
        <is>
          <t>优先级</t>
        </is>
      </c>
      <c r="K1" s="6" t="inlineStr">
        <is>
          <t>备注 / 待确认</t>
        </is>
      </c>
    </row>
    <row r="2">
      <c r="A2" s="23" t="inlineStr">
        <is>
          <t>SFX_SUBTITLE_IN</t>
        </is>
      </c>
      <c r="B2" s="23" t="inlineStr">
        <is>
          <t>通用</t>
        </is>
      </c>
      <c r="C2" s="23" t="inlineStr">
        <is>
          <t>UI/对白</t>
        </is>
      </c>
      <c r="D2" s="23" t="inlineStr">
        <is>
          <t>字幕出现</t>
        </is>
      </c>
      <c r="E2" s="23" t="inlineStr">
        <is>
          <t>每句亲切的声音字幕出现</t>
        </is>
      </c>
      <c r="F2" s="23" t="inlineStr">
        <is>
          <t>很轻、温暖的提示</t>
        </is>
      </c>
      <c r="G2" s="23" t="inlineStr">
        <is>
          <t>0.2s</t>
        </is>
      </c>
      <c r="H2" s="23" t="inlineStr">
        <is>
          <t>否</t>
        </is>
      </c>
      <c r="I2" s="23" t="n">
        <v>1</v>
      </c>
      <c r="J2" s="23" t="inlineStr">
        <is>
          <t>P2</t>
        </is>
      </c>
      <c r="K2" s="23" t="inlineStr">
        <is>
          <t>有配音时可能不需要</t>
        </is>
      </c>
    </row>
    <row r="3">
      <c r="A3" s="23" t="inlineStr">
        <is>
          <t>SFX_AGENT_POPUP</t>
        </is>
      </c>
      <c r="B3" s="23" t="inlineStr">
        <is>
          <t>通用</t>
        </is>
      </c>
      <c r="C3" s="23" t="inlineStr">
        <is>
          <t>UI/对白</t>
        </is>
      </c>
      <c r="D3" s="23" t="inlineStr">
        <is>
          <t>Agent 弹窗出现</t>
        </is>
      </c>
      <c r="E3" s="23" t="inlineStr">
        <is>
          <t>每次左侧 Agent 弹窗出现</t>
        </is>
      </c>
      <c r="F3" s="23" t="inlineStr">
        <is>
          <t>冷感电子提示，和字幕音明显区分</t>
        </is>
      </c>
      <c r="G3" s="23" t="inlineStr">
        <is>
          <t>0.3s</t>
        </is>
      </c>
      <c r="H3" s="23" t="inlineStr">
        <is>
          <t>否</t>
        </is>
      </c>
      <c r="I3" s="23" t="n">
        <v>1</v>
      </c>
      <c r="J3" s="23" t="inlineStr">
        <is>
          <t>P0</t>
        </is>
      </c>
      <c r="K3" s="23" t="inlineStr"/>
    </row>
    <row r="4">
      <c r="A4" s="23" t="inlineStr">
        <is>
          <t>SFX_AGENT_TYPE</t>
        </is>
      </c>
      <c r="B4" s="23" t="inlineStr">
        <is>
          <t>通用</t>
        </is>
      </c>
      <c r="C4" s="23" t="inlineStr">
        <is>
          <t>UI/对白</t>
        </is>
      </c>
      <c r="D4" s="23" t="inlineStr">
        <is>
          <t>Agent 文字输出</t>
        </is>
      </c>
      <c r="E4" s="23" t="inlineStr">
        <is>
          <t>Agent 弹窗文字逐字出现时</t>
        </is>
      </c>
      <c r="F4" s="23" t="inlineStr">
        <is>
          <t>细碎的数据 / 打字声</t>
        </is>
      </c>
      <c r="G4" s="23" t="inlineStr">
        <is>
          <t>1–2s</t>
        </is>
      </c>
      <c r="H4" s="23" t="inlineStr">
        <is>
          <t>是</t>
        </is>
      </c>
      <c r="I4" s="23" t="n">
        <v>1</v>
      </c>
      <c r="J4" s="23" t="inlineStr">
        <is>
          <t>P2</t>
        </is>
      </c>
      <c r="K4" s="23" t="inlineStr">
        <is>
          <t>文字不是逐字出现就不需要</t>
        </is>
      </c>
    </row>
    <row r="5">
      <c r="A5" s="13" t="inlineStr">
        <is>
          <t>SFX_AGENT_DATA</t>
        </is>
      </c>
      <c r="B5" s="13" t="inlineStr">
        <is>
          <t>S1</t>
        </is>
      </c>
      <c r="C5" s="13" t="inlineStr">
        <is>
          <t>UI/对白</t>
        </is>
      </c>
      <c r="D5" s="13" t="inlineStr">
        <is>
          <t>数据念白</t>
        </is>
      </c>
      <c r="E5" s="13" t="inlineStr">
        <is>
          <t>S1 点方块弹出随机任务时（代替随机池配音）</t>
        </is>
      </c>
      <c r="F5" s="13" t="inlineStr">
        <is>
          <t>听不清内容的电子念白 / 压缩语音，像 Agent 在快速播报</t>
        </is>
      </c>
      <c r="G5" s="13" t="inlineStr">
        <is>
          <t>0.8–1.5s</t>
        </is>
      </c>
      <c r="H5" s="13" t="inlineStr">
        <is>
          <t>否</t>
        </is>
      </c>
      <c r="I5" s="13" t="n">
        <v>4</v>
      </c>
      <c r="J5" s="13" t="inlineStr">
        <is>
          <t>P1</t>
        </is>
      </c>
      <c r="K5" s="13" t="inlineStr">
        <is>
          <t>4 个变体随机播，避免重复</t>
        </is>
      </c>
    </row>
    <row r="6">
      <c r="A6" s="23" t="inlineStr">
        <is>
          <t>SFX_ADVANCE</t>
        </is>
      </c>
      <c r="B6" s="23" t="inlineStr">
        <is>
          <t>通用</t>
        </is>
      </c>
      <c r="C6" s="23" t="inlineStr">
        <is>
          <t>UI/对白</t>
        </is>
      </c>
      <c r="D6" s="23" t="inlineStr">
        <is>
          <t>点击跳过对白</t>
        </is>
      </c>
      <c r="E6" s="23" t="inlineStr">
        <is>
          <t>点击空白处快进</t>
        </is>
      </c>
      <c r="F6" s="23" t="inlineStr">
        <is>
          <t>极轻的点击</t>
        </is>
      </c>
      <c r="G6" s="23" t="inlineStr">
        <is>
          <t>0.1s</t>
        </is>
      </c>
      <c r="H6" s="23" t="inlineStr">
        <is>
          <t>否</t>
        </is>
      </c>
      <c r="I6" s="23" t="n">
        <v>1</v>
      </c>
      <c r="J6" s="23" t="inlineStr">
        <is>
          <t>P2</t>
        </is>
      </c>
      <c r="K6" s="23" t="inlineStr"/>
    </row>
    <row r="7">
      <c r="A7" s="23" t="inlineStr">
        <is>
          <t>SFX_QUERY_OPEN</t>
        </is>
      </c>
      <c r="B7" s="23" t="inlineStr">
        <is>
          <t>通用</t>
        </is>
      </c>
      <c r="C7" s="23" t="inlineStr">
        <is>
          <t>UI/对白</t>
        </is>
      </c>
      <c r="D7" s="23" t="inlineStr">
        <is>
          <t>Agent 询问弹窗出现</t>
        </is>
      </c>
      <c r="E7" s="23" t="inlineStr">
        <is>
          <t>S1_005 / S2_009 / S3_011</t>
        </is>
      </c>
      <c r="F7" s="23" t="inlineStr">
        <is>
          <t>比普通弹窗更“正式”的提示，带等待感</t>
        </is>
      </c>
      <c r="G7" s="23" t="inlineStr">
        <is>
          <t>0.5s</t>
        </is>
      </c>
      <c r="H7" s="23" t="inlineStr">
        <is>
          <t>否</t>
        </is>
      </c>
      <c r="I7" s="23" t="n">
        <v>1</v>
      </c>
      <c r="J7" s="23" t="inlineStr">
        <is>
          <t>P1</t>
        </is>
      </c>
      <c r="K7" s="23" t="inlineStr"/>
    </row>
    <row r="8">
      <c r="A8" s="17" t="inlineStr">
        <is>
          <t>SFX_QUERY_WARN</t>
        </is>
      </c>
      <c r="B8" s="17" t="inlineStr">
        <is>
          <t>S3</t>
        </is>
      </c>
      <c r="C8" s="17" t="inlineStr">
        <is>
          <t>UI/对白</t>
        </is>
      </c>
      <c r="D8" s="17" t="inlineStr">
        <is>
          <t>高风险警告</t>
        </is>
      </c>
      <c r="E8" s="17" t="inlineStr">
        <is>
          <t>S3_011 “检测到高风险操作”</t>
        </is>
      </c>
      <c r="F8" s="17" t="inlineStr">
        <is>
          <t>警报感但不刺耳（双音交替）</t>
        </is>
      </c>
      <c r="G8" s="17" t="inlineStr">
        <is>
          <t>0.8s</t>
        </is>
      </c>
      <c r="H8" s="17" t="inlineStr">
        <is>
          <t>否</t>
        </is>
      </c>
      <c r="I8" s="17" t="n">
        <v>1</v>
      </c>
      <c r="J8" s="17" t="inlineStr">
        <is>
          <t>P1</t>
        </is>
      </c>
      <c r="K8" s="17" t="inlineStr">
        <is>
          <t>也可以和 QUERY_OPEN 合并</t>
        </is>
      </c>
    </row>
    <row r="9">
      <c r="A9" s="23" t="inlineStr">
        <is>
          <t>SFX_YES_HOVER</t>
        </is>
      </c>
      <c r="B9" s="23" t="inlineStr">
        <is>
          <t>通用</t>
        </is>
      </c>
      <c r="C9" s="23" t="inlineStr">
        <is>
          <t>UI/对白</t>
        </is>
      </c>
      <c r="D9" s="23" t="inlineStr">
        <is>
          <t>Yes 按钮悬停</t>
        </is>
      </c>
      <c r="E9" s="23" t="inlineStr">
        <is>
          <t>鼠标移到 Yes 上</t>
        </is>
      </c>
      <c r="F9" s="23" t="inlineStr">
        <is>
          <t>轻微的 tick</t>
        </is>
      </c>
      <c r="G9" s="23" t="inlineStr">
        <is>
          <t>0.1s</t>
        </is>
      </c>
      <c r="H9" s="23" t="inlineStr">
        <is>
          <t>否</t>
        </is>
      </c>
      <c r="I9" s="23" t="n">
        <v>1</v>
      </c>
      <c r="J9" s="23" t="inlineStr">
        <is>
          <t>P2</t>
        </is>
      </c>
      <c r="K9" s="23" t="inlineStr"/>
    </row>
    <row r="10">
      <c r="A10" s="23" t="inlineStr">
        <is>
          <t>SFX_YES_CONFIRM</t>
        </is>
      </c>
      <c r="B10" s="23" t="inlineStr">
        <is>
          <t>通用</t>
        </is>
      </c>
      <c r="C10" s="23" t="inlineStr">
        <is>
          <t>UI/对白</t>
        </is>
      </c>
      <c r="D10" s="23" t="inlineStr">
        <is>
          <t>点击 Yes</t>
        </is>
      </c>
      <c r="E10" s="23" t="inlineStr">
        <is>
          <t>点 Yes 进入下一关</t>
        </is>
      </c>
      <c r="F10" s="23" t="inlineStr">
        <is>
          <t>确认音，带一点“开启”的上行</t>
        </is>
      </c>
      <c r="G10" s="23" t="inlineStr">
        <is>
          <t>0.4s</t>
        </is>
      </c>
      <c r="H10" s="23" t="inlineStr">
        <is>
          <t>否</t>
        </is>
      </c>
      <c r="I10" s="23" t="n">
        <v>1</v>
      </c>
      <c r="J10" s="23" t="inlineStr">
        <is>
          <t>P0</t>
        </is>
      </c>
      <c r="K10" s="23" t="inlineStr"/>
    </row>
    <row r="11">
      <c r="A11" s="23" t="inlineStr">
        <is>
          <t>SFX_NODE_HOVER</t>
        </is>
      </c>
      <c r="B11" s="23" t="inlineStr">
        <is>
          <t>通用</t>
        </is>
      </c>
      <c r="C11" s="23" t="inlineStr">
        <is>
          <t>交互</t>
        </is>
      </c>
      <c r="D11" s="23" t="inlineStr">
        <is>
          <t>节点悬停</t>
        </is>
      </c>
      <c r="E11" s="23" t="inlineStr">
        <is>
          <t>鼠标悬停到节点上</t>
        </is>
      </c>
      <c r="F11" s="23" t="inlineStr">
        <is>
          <t>极轻的电子 tick，可随机音高</t>
        </is>
      </c>
      <c r="G11" s="23" t="inlineStr">
        <is>
          <t>0.05–0.1s</t>
        </is>
      </c>
      <c r="H11" s="23" t="inlineStr">
        <is>
          <t>否</t>
        </is>
      </c>
      <c r="I11" s="23" t="n">
        <v>3</v>
      </c>
      <c r="J11" s="23" t="inlineStr">
        <is>
          <t>P2</t>
        </is>
      </c>
      <c r="K11" s="23" t="inlineStr">
        <is>
          <t>音量要很低，否则会吵</t>
        </is>
      </c>
    </row>
    <row r="12">
      <c r="A12" s="23" t="inlineStr">
        <is>
          <t>SFX_DETAIL_OPEN</t>
        </is>
      </c>
      <c r="B12" s="23" t="inlineStr">
        <is>
          <t>通用</t>
        </is>
      </c>
      <c r="C12" s="23" t="inlineStr">
        <is>
          <t>交互</t>
        </is>
      </c>
      <c r="D12" s="23" t="inlineStr">
        <is>
          <t>右键详情展开</t>
        </is>
      </c>
      <c r="E12" s="23" t="inlineStr">
        <is>
          <t>右键查看节点详情（TUT / S2 / S3）</t>
        </is>
      </c>
      <c r="F12" s="23" t="inlineStr">
        <is>
          <t>扫描 / 展开声</t>
        </is>
      </c>
      <c r="G12" s="23" t="inlineStr">
        <is>
          <t>0.3s</t>
        </is>
      </c>
      <c r="H12" s="23" t="inlineStr">
        <is>
          <t>否</t>
        </is>
      </c>
      <c r="I12" s="23" t="n">
        <v>1</v>
      </c>
      <c r="J12" s="23" t="inlineStr">
        <is>
          <t>P0</t>
        </is>
      </c>
      <c r="K12" s="23" t="inlineStr"/>
    </row>
    <row r="13">
      <c r="A13" s="23" t="inlineStr">
        <is>
          <t>SFX_DETAIL_CLOSE</t>
        </is>
      </c>
      <c r="B13" s="23" t="inlineStr">
        <is>
          <t>通用</t>
        </is>
      </c>
      <c r="C13" s="23" t="inlineStr">
        <is>
          <t>交互</t>
        </is>
      </c>
      <c r="D13" s="23" t="inlineStr">
        <is>
          <t>右键详情关闭</t>
        </is>
      </c>
      <c r="E13" s="23" t="inlineStr">
        <is>
          <t>详情框关闭</t>
        </is>
      </c>
      <c r="F13" s="23" t="inlineStr">
        <is>
          <t>展开声的反向，更短</t>
        </is>
      </c>
      <c r="G13" s="23" t="inlineStr">
        <is>
          <t>0.2s</t>
        </is>
      </c>
      <c r="H13" s="23" t="inlineStr">
        <is>
          <t>否</t>
        </is>
      </c>
      <c r="I13" s="23" t="n">
        <v>1</v>
      </c>
      <c r="J13" s="23" t="inlineStr">
        <is>
          <t>P2</t>
        </is>
      </c>
      <c r="K13" s="23" t="inlineStr"/>
    </row>
    <row r="14">
      <c r="A14" s="7" t="inlineStr">
        <is>
          <t>SFX_INTRO_LINK</t>
        </is>
      </c>
      <c r="B14" s="7" t="inlineStr">
        <is>
          <t>INTRO</t>
        </is>
      </c>
      <c r="C14" s="7" t="inlineStr">
        <is>
          <t>演出</t>
        </is>
      </c>
      <c r="D14" s="7" t="inlineStr">
        <is>
          <t>神经连接恢复</t>
        </is>
      </c>
      <c r="E14" s="7" t="inlineStr">
        <is>
          <t>INTRO_002 Agent 第一句</t>
        </is>
      </c>
      <c r="F14" s="7" t="inlineStr">
        <is>
          <t>系统上线 / 连接建立的电子音</t>
        </is>
      </c>
      <c r="G14" s="7" t="inlineStr">
        <is>
          <t>1s</t>
        </is>
      </c>
      <c r="H14" s="7" t="inlineStr">
        <is>
          <t>否</t>
        </is>
      </c>
      <c r="I14" s="7" t="n">
        <v>1</v>
      </c>
      <c r="J14" s="7" t="inlineStr">
        <is>
          <t>P2</t>
        </is>
      </c>
      <c r="K14" s="7" t="inlineStr"/>
    </row>
    <row r="15">
      <c r="A15" s="7" t="inlineStr">
        <is>
          <t>SFX_INTRO_WAKE</t>
        </is>
      </c>
      <c r="B15" s="7" t="inlineStr">
        <is>
          <t>INTRO</t>
        </is>
      </c>
      <c r="C15" s="7" t="inlineStr">
        <is>
          <t>演出</t>
        </is>
      </c>
      <c r="D15" s="7" t="inlineStr">
        <is>
          <t>神经信号回应</t>
        </is>
      </c>
      <c r="E15" s="7" t="inlineStr">
        <is>
          <t>INTRO_008 后玩家点击任意处</t>
        </is>
      </c>
      <c r="F15" s="7" t="inlineStr">
        <is>
          <t>心跳 / 神经脉冲般的低频“咚”，带一点亮起感</t>
        </is>
      </c>
      <c r="G15" s="7" t="inlineStr">
        <is>
          <t>1s</t>
        </is>
      </c>
      <c r="H15" s="7" t="inlineStr">
        <is>
          <t>否</t>
        </is>
      </c>
      <c r="I15" s="7" t="n">
        <v>1</v>
      </c>
      <c r="J15" s="7" t="inlineStr">
        <is>
          <t>P1</t>
        </is>
      </c>
      <c r="K15" s="7" t="inlineStr">
        <is>
          <t>玩家第一次操作，要有回应感</t>
        </is>
      </c>
    </row>
    <row r="16">
      <c r="A16" s="11" t="inlineStr">
        <is>
          <t>SFX_BLOCK_PULSE</t>
        </is>
      </c>
      <c r="B16" s="11" t="inlineStr">
        <is>
          <t>TUT</t>
        </is>
      </c>
      <c r="C16" s="11" t="inlineStr">
        <is>
          <t>交互</t>
        </is>
      </c>
      <c r="D16" s="11" t="inlineStr">
        <is>
          <t>方块呼吸闪烁</t>
        </is>
      </c>
      <c r="E16" s="11" t="inlineStr">
        <is>
          <t>方块从暗到亮循环（TUT、S1）</t>
        </is>
      </c>
      <c r="F16" s="11" t="inlineStr">
        <is>
          <t>微弱的电子呼吸声，和闪烁同步</t>
        </is>
      </c>
      <c r="G16" s="11" t="inlineStr">
        <is>
          <t>1–2s</t>
        </is>
      </c>
      <c r="H16" s="11" t="inlineStr">
        <is>
          <t>是</t>
        </is>
      </c>
      <c r="I16" s="11" t="n">
        <v>1</v>
      </c>
      <c r="J16" s="11" t="inlineStr">
        <is>
          <t>P1</t>
        </is>
      </c>
      <c r="K16" s="11" t="inlineStr">
        <is>
          <t>S1 多个方块同时亮时要压低或只给新亮起的</t>
        </is>
      </c>
    </row>
    <row r="17">
      <c r="A17" s="11" t="inlineStr">
        <is>
          <t>SFX_TAP_AUTH</t>
        </is>
      </c>
      <c r="B17" s="11" t="inlineStr">
        <is>
          <t>TUT</t>
        </is>
      </c>
      <c r="C17" s="11" t="inlineStr">
        <is>
          <t>交互</t>
        </is>
      </c>
      <c r="D17" s="11" t="inlineStr">
        <is>
          <t>点击授权</t>
        </is>
      </c>
      <c r="E17" s="11" t="inlineStr">
        <is>
          <t>左键点节点（授权 Agent 处理，TUT、S1）</t>
        </is>
      </c>
      <c r="F17" s="11" t="inlineStr">
        <is>
          <t>短促确认音，偏电子</t>
        </is>
      </c>
      <c r="G17" s="11" t="inlineStr">
        <is>
          <t>0.2–0.4s</t>
        </is>
      </c>
      <c r="H17" s="11" t="inlineStr">
        <is>
          <t>否</t>
        </is>
      </c>
      <c r="I17" s="11" t="n">
        <v>3</v>
      </c>
      <c r="J17" s="11" t="inlineStr">
        <is>
          <t>P0</t>
        </is>
      </c>
      <c r="K17" s="11" t="inlineStr">
        <is>
          <t>S1 连点很频繁，做 3 个音高变体</t>
        </is>
      </c>
    </row>
    <row r="18">
      <c r="A18" s="11" t="inlineStr">
        <is>
          <t>SFX_AGENT_PROCESS</t>
        </is>
      </c>
      <c r="B18" s="11" t="inlineStr">
        <is>
          <t>TUT</t>
        </is>
      </c>
      <c r="C18" s="11" t="inlineStr">
        <is>
          <t>交互</t>
        </is>
      </c>
      <c r="D18" s="11" t="inlineStr">
        <is>
          <t>Agent 处理中</t>
        </is>
      </c>
      <c r="E18" s="11" t="inlineStr">
        <is>
          <t>点击后到出结果之间</t>
        </is>
      </c>
      <c r="F18" s="11" t="inlineStr">
        <is>
          <t>短促的处理 / 运算声</t>
        </is>
      </c>
      <c r="G18" s="11" t="inlineStr">
        <is>
          <t>0.3–0.6s</t>
        </is>
      </c>
      <c r="H18" s="11" t="inlineStr">
        <is>
          <t>否</t>
        </is>
      </c>
      <c r="I18" s="11" t="n">
        <v>1</v>
      </c>
      <c r="J18" s="11" t="inlineStr">
        <is>
          <t>P2</t>
        </is>
      </c>
      <c r="K18" s="11" t="inlineStr"/>
    </row>
    <row r="19">
      <c r="A19" s="11" t="inlineStr">
        <is>
          <t>SFX_TASK_SUCCESS</t>
        </is>
      </c>
      <c r="B19" s="11" t="inlineStr">
        <is>
          <t>TUT</t>
        </is>
      </c>
      <c r="C19" s="11" t="inlineStr">
        <is>
          <t>反馈</t>
        </is>
      </c>
      <c r="D19" s="11" t="inlineStr">
        <is>
          <t>Mission Accomplished</t>
        </is>
      </c>
      <c r="E19" s="11" t="inlineStr">
        <is>
          <t>TUT_004 简单问题解决</t>
        </is>
      </c>
      <c r="F19" s="11" t="inlineStr">
        <is>
          <t>干净、机械的完成音</t>
        </is>
      </c>
      <c r="G19" s="11" t="inlineStr">
        <is>
          <t>0.5s</t>
        </is>
      </c>
      <c r="H19" s="11" t="inlineStr">
        <is>
          <t>否</t>
        </is>
      </c>
      <c r="I19" s="11" t="n">
        <v>1</v>
      </c>
      <c r="J19" s="11" t="inlineStr">
        <is>
          <t>P0</t>
        </is>
      </c>
      <c r="K19" s="11" t="inlineStr"/>
    </row>
    <row r="20">
      <c r="A20" s="11" t="inlineStr">
        <is>
          <t>SFX_TASK_FAIL</t>
        </is>
      </c>
      <c r="B20" s="11" t="inlineStr">
        <is>
          <t>TUT</t>
        </is>
      </c>
      <c r="C20" s="11" t="inlineStr">
        <is>
          <t>反馈</t>
        </is>
      </c>
      <c r="D20" s="11" t="inlineStr">
        <is>
          <t>Mission Failed</t>
        </is>
      </c>
      <c r="E20" s="11" t="inlineStr">
        <is>
          <t>TUT_008 困难问题失败</t>
        </is>
      </c>
      <c r="F20" s="11" t="inlineStr">
        <is>
          <t>报错，带“断开 / 离线”的下行</t>
        </is>
      </c>
      <c r="G20" s="11" t="inlineStr">
        <is>
          <t>0.6s</t>
        </is>
      </c>
      <c r="H20" s="11" t="inlineStr">
        <is>
          <t>否</t>
        </is>
      </c>
      <c r="I20" s="11" t="n">
        <v>1</v>
      </c>
      <c r="J20" s="11" t="inlineStr">
        <is>
          <t>P0</t>
        </is>
      </c>
      <c r="K20" s="11" t="inlineStr"/>
    </row>
    <row r="21">
      <c r="A21" s="11" t="inlineStr">
        <is>
          <t>SFX_BLOCK_DIM</t>
        </is>
      </c>
      <c r="B21" s="11" t="inlineStr">
        <is>
          <t>TUT</t>
        </is>
      </c>
      <c r="C21" s="11" t="inlineStr">
        <is>
          <t>反馈</t>
        </is>
      </c>
      <c r="D21" s="11" t="inlineStr">
        <is>
          <t>方块变暗</t>
        </is>
      </c>
      <c r="E21" s="11" t="inlineStr">
        <is>
          <t>方块被处理后变暗（TUT、S1）</t>
        </is>
      </c>
      <c r="F21" s="11" t="inlineStr">
        <is>
          <t>下行的柔和音</t>
        </is>
      </c>
      <c r="G21" s="11" t="inlineStr">
        <is>
          <t>0.3–0.6s</t>
        </is>
      </c>
      <c r="H21" s="11" t="inlineStr">
        <is>
          <t>否</t>
        </is>
      </c>
      <c r="I21" s="11" t="n">
        <v>2</v>
      </c>
      <c r="J21" s="11" t="inlineStr">
        <is>
          <t>P1</t>
        </is>
      </c>
      <c r="K21" s="11" t="inlineStr"/>
    </row>
    <row r="22">
      <c r="A22" s="11" t="inlineStr">
        <is>
          <t>SFX_BLOCK_RELIGHT</t>
        </is>
      </c>
      <c r="B22" s="11" t="inlineStr">
        <is>
          <t>TUT</t>
        </is>
      </c>
      <c r="C22" s="11" t="inlineStr">
        <is>
          <t>反馈</t>
        </is>
      </c>
      <c r="D22" s="11" t="inlineStr">
        <is>
          <t>方块重新亮起</t>
        </is>
      </c>
      <c r="E22" s="11" t="inlineStr">
        <is>
          <t>失败后 2–3s 再闪 / S1 处理过的方块又亮</t>
        </is>
      </c>
      <c r="F22" s="11" t="inlineStr">
        <is>
          <t>略带不安的上行</t>
        </is>
      </c>
      <c r="G22" s="11" t="inlineStr">
        <is>
          <t>0.3s</t>
        </is>
      </c>
      <c r="H22" s="11" t="inlineStr">
        <is>
          <t>否</t>
        </is>
      </c>
      <c r="I22" s="11" t="n">
        <v>1</v>
      </c>
      <c r="J22" s="11" t="inlineStr">
        <is>
          <t>P1</t>
        </is>
      </c>
      <c r="K22" s="11" t="inlineStr"/>
    </row>
    <row r="23">
      <c r="A23" s="11" t="inlineStr">
        <is>
          <t>SFX_TUT_TO_MATRIX</t>
        </is>
      </c>
      <c r="B23" s="11" t="inlineStr">
        <is>
          <t>TUT</t>
        </is>
      </c>
      <c r="C23" s="11" t="inlineStr">
        <is>
          <t>转场</t>
        </is>
      </c>
      <c r="D23" s="11" t="inlineStr">
        <is>
          <t>方块融入矩阵</t>
        </is>
      </c>
      <c r="E23" s="11" t="inlineStr">
        <is>
          <t>TUT_016 后方块后退缩小、其余方块渐显</t>
        </is>
      </c>
      <c r="F23" s="11" t="inlineStr">
        <is>
          <t>远去的 whoosh + 大量小方块依次亮起</t>
        </is>
      </c>
      <c r="G23" s="11" t="inlineStr">
        <is>
          <t>2–3s</t>
        </is>
      </c>
      <c r="H23" s="11" t="inlineStr">
        <is>
          <t>否</t>
        </is>
      </c>
      <c r="I23" s="11" t="n">
        <v>1</v>
      </c>
      <c r="J23" s="11" t="inlineStr">
        <is>
          <t>P1</t>
        </is>
      </c>
      <c r="K23" s="11" t="inlineStr">
        <is>
          <t>转场时长待定</t>
        </is>
      </c>
    </row>
    <row r="24">
      <c r="A24" s="13" t="inlineStr">
        <is>
          <t>SFX_S1_WARN</t>
        </is>
      </c>
      <c r="B24" s="13" t="inlineStr">
        <is>
          <t>S1</t>
        </is>
      </c>
      <c r="C24" s="13" t="inlineStr">
        <is>
          <t>反馈</t>
        </is>
      </c>
      <c r="D24" s="13" t="inlineStr">
        <is>
          <t>进度落后警告</t>
        </is>
      </c>
      <c r="E24" s="13" t="inlineStr">
        <is>
          <t>S1_002 通关时</t>
        </is>
      </c>
      <c r="F24" s="13" t="inlineStr">
        <is>
          <t>低沉的系统警告</t>
        </is>
      </c>
      <c r="G24" s="13" t="inlineStr">
        <is>
          <t>0.8s</t>
        </is>
      </c>
      <c r="H24" s="13" t="inlineStr">
        <is>
          <t>否</t>
        </is>
      </c>
      <c r="I24" s="13" t="n">
        <v>1</v>
      </c>
      <c r="J24" s="13" t="inlineStr">
        <is>
          <t>P2</t>
        </is>
      </c>
      <c r="K24" s="13" t="inlineStr"/>
    </row>
    <row r="25">
      <c r="A25" s="23" t="inlineStr">
        <is>
          <t>SFX_MORPH</t>
        </is>
      </c>
      <c r="B25" s="23" t="inlineStr">
        <is>
          <t>转场</t>
        </is>
      </c>
      <c r="C25" s="23" t="inlineStr">
        <is>
          <t>转场</t>
        </is>
      </c>
      <c r="D25" s="23" t="inlineStr">
        <is>
          <t>植株变形</t>
        </is>
      </c>
      <c r="E25" s="23" t="inlineStr">
        <is>
          <t>每次进入新阶段，节点重组</t>
        </is>
      </c>
      <c r="F25" s="23" t="inlineStr">
        <is>
          <t>数据重组 / 粒子聚合</t>
        </is>
      </c>
      <c r="G25" s="23" t="inlineStr">
        <is>
          <t>1.5–3s</t>
        </is>
      </c>
      <c r="H25" s="23" t="inlineStr">
        <is>
          <t>否</t>
        </is>
      </c>
      <c r="I25" s="23" t="n">
        <v>4</v>
      </c>
      <c r="J25" s="23" t="inlineStr">
        <is>
          <t>P0</t>
        </is>
      </c>
      <c r="K25" s="23" t="inlineStr">
        <is>
          <t>4 次转场各一个变体（S1→S2、S2→S3、S3→S4、S4→写实），越往后越自然</t>
        </is>
      </c>
    </row>
    <row r="26">
      <c r="A26" s="15" t="inlineStr">
        <is>
          <t>SFX_S2_EXPAND</t>
        </is>
      </c>
      <c r="B26" s="15" t="inlineStr">
        <is>
          <t>S2</t>
        </is>
      </c>
      <c r="C26" s="15" t="inlineStr">
        <is>
          <t>演出</t>
        </is>
      </c>
      <c r="D26" s="15" t="inlineStr">
        <is>
          <t>关联视图展开</t>
        </is>
      </c>
      <c r="E26" s="15" t="inlineStr">
        <is>
          <t>S2_001 矩阵展开、连线生成</t>
        </is>
      </c>
      <c r="F26" s="15" t="inlineStr">
        <is>
          <t>线条依次连上的“滋滋”声</t>
        </is>
      </c>
      <c r="G26" s="15" t="inlineStr">
        <is>
          <t>2s</t>
        </is>
      </c>
      <c r="H26" s="15" t="inlineStr">
        <is>
          <t>否</t>
        </is>
      </c>
      <c r="I26" s="15" t="n">
        <v>1</v>
      </c>
      <c r="J26" s="15" t="inlineStr">
        <is>
          <t>P1</t>
        </is>
      </c>
      <c r="K26" s="15" t="inlineStr"/>
    </row>
    <row r="27">
      <c r="A27" s="15" t="inlineStr">
        <is>
          <t>SFX_SCAN</t>
        </is>
      </c>
      <c r="B27" s="15" t="inlineStr">
        <is>
          <t>S2</t>
        </is>
      </c>
      <c r="C27" s="15" t="inlineStr">
        <is>
          <t>演出</t>
        </is>
      </c>
      <c r="D27" s="15" t="inlineStr">
        <is>
          <t>扫描全局状态</t>
        </is>
      </c>
      <c r="E27" s="15" t="inlineStr">
        <is>
          <t>S2_002 / S3_001</t>
        </is>
      </c>
      <c r="F27" s="15" t="inlineStr">
        <is>
          <t>扫描 sweep</t>
        </is>
      </c>
      <c r="G27" s="15" t="inlineStr">
        <is>
          <t>1.5s</t>
        </is>
      </c>
      <c r="H27" s="15" t="inlineStr">
        <is>
          <t>否</t>
        </is>
      </c>
      <c r="I27" s="15" t="n">
        <v>1</v>
      </c>
      <c r="J27" s="15" t="inlineStr">
        <is>
          <t>P2</t>
        </is>
      </c>
      <c r="K27" s="15" t="inlineStr">
        <is>
          <t>S2、S3 共用</t>
        </is>
      </c>
    </row>
    <row r="28">
      <c r="A28" s="15" t="inlineStr">
        <is>
          <t>SFX_S2_PULSE_SRC</t>
        </is>
      </c>
      <c r="B28" s="15" t="inlineStr">
        <is>
          <t>S2</t>
        </is>
      </c>
      <c r="C28" s="15" t="inlineStr">
        <is>
          <t>引导</t>
        </is>
      </c>
      <c r="D28" s="15" t="inlineStr">
        <is>
          <t>脉冲源呼吸</t>
        </is>
      </c>
      <c r="E28" s="15" t="inlineStr">
        <is>
          <t>当前脉冲源闪烁</t>
        </is>
      </c>
      <c r="F28" s="15" t="inlineStr">
        <is>
          <t>带节奏的低频脉冲，引导视线</t>
        </is>
      </c>
      <c r="G28" s="15" t="inlineStr">
        <is>
          <t>1s</t>
        </is>
      </c>
      <c r="H28" s="15" t="inlineStr">
        <is>
          <t>是</t>
        </is>
      </c>
      <c r="I28" s="15" t="n">
        <v>1</v>
      </c>
      <c r="J28" s="15" t="inlineStr">
        <is>
          <t>P1</t>
        </is>
      </c>
      <c r="K28" s="15" t="inlineStr"/>
    </row>
    <row r="29">
      <c r="A29" s="15" t="inlineStr">
        <is>
          <t>SFX_S2_PULSE_RUN</t>
        </is>
      </c>
      <c r="B29" s="15" t="inlineStr">
        <is>
          <t>S2</t>
        </is>
      </c>
      <c r="C29" s="15" t="inlineStr">
        <is>
          <t>引导</t>
        </is>
      </c>
      <c r="D29" s="15" t="inlineStr">
        <is>
          <t>脉冲沿线流动</t>
        </is>
      </c>
      <c r="E29" s="15" t="inlineStr">
        <is>
          <t>脉冲沿下一段线路跑过去</t>
        </is>
      </c>
      <c r="F29" s="15" t="inlineStr">
        <is>
          <t>快速流过的电流声</t>
        </is>
      </c>
      <c r="G29" s="15" t="inlineStr">
        <is>
          <t>0.5–1s</t>
        </is>
      </c>
      <c r="H29" s="15" t="inlineStr">
        <is>
          <t>否</t>
        </is>
      </c>
      <c r="I29" s="15" t="n">
        <v>1</v>
      </c>
      <c r="J29" s="15" t="inlineStr">
        <is>
          <t>P1</t>
        </is>
      </c>
      <c r="K29" s="15" t="inlineStr"/>
    </row>
    <row r="30">
      <c r="A30" s="15" t="inlineStr">
        <is>
          <t>SFX_S2_DRAG</t>
        </is>
      </c>
      <c r="B30" s="15" t="inlineStr">
        <is>
          <t>S2</t>
        </is>
      </c>
      <c r="C30" s="15" t="inlineStr">
        <is>
          <t>交互</t>
        </is>
      </c>
      <c r="D30" s="15" t="inlineStr">
        <is>
          <t>拖拽中</t>
        </is>
      </c>
      <c r="E30" s="15" t="inlineStr">
        <is>
          <t>按住从脉冲源拖拽</t>
        </is>
      </c>
      <c r="F30" s="15" t="inlineStr">
        <is>
          <t>持续的电流流动声</t>
        </is>
      </c>
      <c r="G30" s="15" t="inlineStr">
        <is>
          <t>1–2s</t>
        </is>
      </c>
      <c r="H30" s="15" t="inlineStr">
        <is>
          <t>是</t>
        </is>
      </c>
      <c r="I30" s="15" t="n">
        <v>1</v>
      </c>
      <c r="J30" s="15" t="inlineStr">
        <is>
          <t>P0</t>
        </is>
      </c>
      <c r="K30" s="15" t="inlineStr"/>
    </row>
    <row r="31">
      <c r="A31" s="15" t="inlineStr">
        <is>
          <t>SFX_S2_NODE_LINK</t>
        </is>
      </c>
      <c r="B31" s="15" t="inlineStr">
        <is>
          <t>S2</t>
        </is>
      </c>
      <c r="C31" s="15" t="inlineStr">
        <is>
          <t>交互</t>
        </is>
      </c>
      <c r="D31" s="15" t="inlineStr">
        <is>
          <t>连上一个节点</t>
        </is>
      </c>
      <c r="E31" s="15" t="inlineStr">
        <is>
          <t>拖过每个节点时</t>
        </is>
      </c>
      <c r="F31" s="15" t="inlineStr">
        <is>
          <t>接通音，同一段内音高逐个升高</t>
        </is>
      </c>
      <c r="G31" s="15" t="inlineStr">
        <is>
          <t>0.2s</t>
        </is>
      </c>
      <c r="H31" s="15" t="inlineStr">
        <is>
          <t>否</t>
        </is>
      </c>
      <c r="I31" s="15" t="n">
        <v>5</v>
      </c>
      <c r="J31" s="15" t="inlineStr">
        <is>
          <t>P0</t>
        </is>
      </c>
      <c r="K31" s="15" t="inlineStr">
        <is>
          <t>每段最多 5 个节点，5 个音高做成音阶，听得出进度</t>
        </is>
      </c>
    </row>
    <row r="32">
      <c r="A32" s="15" t="inlineStr">
        <is>
          <t>SFX_S2_WATER</t>
        </is>
      </c>
      <c r="B32" s="15" t="inlineStr">
        <is>
          <t>S2</t>
        </is>
      </c>
      <c r="C32" s="15" t="inlineStr">
        <is>
          <t>反馈</t>
        </is>
      </c>
      <c r="D32" s="15" t="inlineStr">
        <is>
          <t>缺水节点恢复</t>
        </is>
      </c>
      <c r="E32" s="15" t="inlineStr">
        <is>
          <t>缺水节点被连通恢复</t>
        </is>
      </c>
      <c r="F32" s="15" t="inlineStr">
        <is>
          <t>滴水 / 水流渗入，混一点电子感</t>
        </is>
      </c>
      <c r="G32" s="15" t="inlineStr">
        <is>
          <t>0.5–1s</t>
        </is>
      </c>
      <c r="H32" s="15" t="inlineStr">
        <is>
          <t>否</t>
        </is>
      </c>
      <c r="I32" s="15" t="n">
        <v>3</v>
      </c>
      <c r="J32" s="15" t="inlineStr">
        <is>
          <t>P1</t>
        </is>
      </c>
      <c r="K32" s="15" t="inlineStr">
        <is>
          <t>设计文档里提过“滴水声”</t>
        </is>
      </c>
    </row>
    <row r="33">
      <c r="A33" s="15" t="inlineStr">
        <is>
          <t>SFX_S2_SEGMENT_DONE</t>
        </is>
      </c>
      <c r="B33" s="15" t="inlineStr">
        <is>
          <t>S2</t>
        </is>
      </c>
      <c r="C33" s="15" t="inlineStr">
        <is>
          <t>反馈</t>
        </is>
      </c>
      <c r="D33" s="15" t="inlineStr">
        <is>
          <t>一段连完</t>
        </is>
      </c>
      <c r="E33" s="15" t="inlineStr">
        <is>
          <t>拖到段终点</t>
        </is>
      </c>
      <c r="F33" s="15" t="inlineStr">
        <is>
          <t>小型完成音</t>
        </is>
      </c>
      <c r="G33" s="15" t="inlineStr">
        <is>
          <t>0.4s</t>
        </is>
      </c>
      <c r="H33" s="15" t="inlineStr">
        <is>
          <t>否</t>
        </is>
      </c>
      <c r="I33" s="15" t="n">
        <v>1</v>
      </c>
      <c r="J33" s="15" t="inlineStr">
        <is>
          <t>P1</t>
        </is>
      </c>
      <c r="K33" s="15" t="inlineStr"/>
    </row>
    <row r="34">
      <c r="A34" s="15" t="inlineStr">
        <is>
          <t>SFX_S2_WRONG</t>
        </is>
      </c>
      <c r="B34" s="15" t="inlineStr">
        <is>
          <t>S2</t>
        </is>
      </c>
      <c r="C34" s="15" t="inlineStr">
        <is>
          <t>反馈</t>
        </is>
      </c>
      <c r="D34" s="15" t="inlineStr">
        <is>
          <t>错误起点</t>
        </is>
      </c>
      <c r="E34" s="15" t="inlineStr">
        <is>
          <t>从非脉冲源开始拖 / 点非脉冲源</t>
        </is>
      </c>
      <c r="F34" s="15" t="inlineStr">
        <is>
          <t>短促的拒绝音（配合脉冲源快速闪）</t>
        </is>
      </c>
      <c r="G34" s="15" t="inlineStr">
        <is>
          <t>0.3s</t>
        </is>
      </c>
      <c r="H34" s="15" t="inlineStr">
        <is>
          <t>否</t>
        </is>
      </c>
      <c r="I34" s="15" t="n">
        <v>1</v>
      </c>
      <c r="J34" s="15" t="inlineStr">
        <is>
          <t>P1</t>
        </is>
      </c>
      <c r="K34" s="15" t="inlineStr"/>
    </row>
    <row r="35">
      <c r="A35" s="15" t="inlineStr">
        <is>
          <t>SFX_S2_FRUIT_FAIL</t>
        </is>
      </c>
      <c r="B35" s="15" t="inlineStr">
        <is>
          <t>S2</t>
        </is>
      </c>
      <c r="C35" s="15" t="inlineStr">
        <is>
          <t>反馈</t>
        </is>
      </c>
      <c r="D35" s="15" t="inlineStr">
        <is>
          <t>果实无法修复</t>
        </is>
      </c>
      <c r="E35" s="15" t="inlineStr">
        <is>
          <t>路径走到果实时</t>
        </is>
      </c>
      <c r="F35" s="15" t="inlineStr">
        <is>
          <t>断开 / 失败的低音</t>
        </is>
      </c>
      <c r="G35" s="15" t="inlineStr">
        <is>
          <t>0.5s</t>
        </is>
      </c>
      <c r="H35" s="15" t="inlineStr">
        <is>
          <t>否</t>
        </is>
      </c>
      <c r="I35" s="15" t="n">
        <v>1</v>
      </c>
      <c r="J35" s="15" t="inlineStr">
        <is>
          <t>P2</t>
        </is>
      </c>
      <c r="K35" s="15" t="inlineStr"/>
    </row>
    <row r="36">
      <c r="A36" s="15" t="inlineStr">
        <is>
          <t>SFX_S2_ALL_FIXED</t>
        </is>
      </c>
      <c r="B36" s="15" t="inlineStr">
        <is>
          <t>S2</t>
        </is>
      </c>
      <c r="C36" s="15" t="inlineStr">
        <is>
          <t>反馈</t>
        </is>
      </c>
      <c r="D36" s="15" t="inlineStr">
        <is>
          <t>供给全部恢复</t>
        </is>
      </c>
      <c r="E36" s="15" t="inlineStr">
        <is>
          <t>S2 通关</t>
        </is>
      </c>
      <c r="F36" s="15" t="inlineStr">
        <is>
          <t>完整的充能完成音</t>
        </is>
      </c>
      <c r="G36" s="15" t="inlineStr">
        <is>
          <t>1s</t>
        </is>
      </c>
      <c r="H36" s="15" t="inlineStr">
        <is>
          <t>否</t>
        </is>
      </c>
      <c r="I36" s="15" t="n">
        <v>1</v>
      </c>
      <c r="J36" s="15" t="inlineStr">
        <is>
          <t>P1</t>
        </is>
      </c>
      <c r="K36" s="15" t="inlineStr"/>
    </row>
    <row r="37">
      <c r="A37" s="17" t="inlineStr">
        <is>
          <t>SFX_S3_COLOR</t>
        </is>
      </c>
      <c r="B37" s="17" t="inlineStr">
        <is>
          <t>S3</t>
        </is>
      </c>
      <c r="C37" s="17" t="inlineStr">
        <is>
          <t>演出</t>
        </is>
      </c>
      <c r="D37" s="17" t="inlineStr">
        <is>
          <t>RGB 模式恢复</t>
        </is>
      </c>
      <c r="E37" s="17" t="inlineStr">
        <is>
          <t>S3_003 节点恢复颜色</t>
        </is>
      </c>
      <c r="F37" s="17" t="inlineStr">
        <is>
          <t>色彩展开感的上行音</t>
        </is>
      </c>
      <c r="G37" s="17" t="inlineStr">
        <is>
          <t>1s</t>
        </is>
      </c>
      <c r="H37" s="17" t="inlineStr">
        <is>
          <t>否</t>
        </is>
      </c>
      <c r="I37" s="17" t="n">
        <v>1</v>
      </c>
      <c r="J37" s="17" t="inlineStr">
        <is>
          <t>P0</t>
        </is>
      </c>
      <c r="K37" s="17" t="inlineStr"/>
    </row>
    <row r="38">
      <c r="A38" s="17" t="inlineStr">
        <is>
          <t>SFX_S3_SPATIAL</t>
        </is>
      </c>
      <c r="B38" s="17" t="inlineStr">
        <is>
          <t>S3</t>
        </is>
      </c>
      <c r="C38" s="17" t="inlineStr">
        <is>
          <t>演出</t>
        </is>
      </c>
      <c r="D38" s="17" t="inlineStr">
        <is>
          <t>空间视觉恢复</t>
        </is>
      </c>
      <c r="E38" s="17" t="inlineStr">
        <is>
          <t>S3_004 视角解锁</t>
        </is>
      </c>
      <c r="F38" s="17" t="inlineStr">
        <is>
          <t>空间展开，立体声从窄变宽</t>
        </is>
      </c>
      <c r="G38" s="17" t="inlineStr">
        <is>
          <t>1–1.5s</t>
        </is>
      </c>
      <c r="H38" s="17" t="inlineStr">
        <is>
          <t>否</t>
        </is>
      </c>
      <c r="I38" s="17" t="n">
        <v>1</v>
      </c>
      <c r="J38" s="17" t="inlineStr">
        <is>
          <t>P1</t>
        </is>
      </c>
      <c r="K38" s="17" t="inlineStr">
        <is>
          <t>立体声制作</t>
        </is>
      </c>
    </row>
    <row r="39">
      <c r="A39" s="17" t="inlineStr">
        <is>
          <t>SFX_ROTATE</t>
        </is>
      </c>
      <c r="B39" s="17" t="inlineStr">
        <is>
          <t>S3</t>
        </is>
      </c>
      <c r="C39" s="17" t="inlineStr">
        <is>
          <t>交互</t>
        </is>
      </c>
      <c r="D39" s="17" t="inlineStr">
        <is>
          <t>拖拽旋转</t>
        </is>
      </c>
      <c r="E39" s="17" t="inlineStr">
        <is>
          <t>拖空白处旋转网络（S3）/ 盆栽（S4）</t>
        </is>
      </c>
      <c r="F39" s="17" t="inlineStr">
        <is>
          <t>很轻的转动 / 风声，按拖拽速度调音量</t>
        </is>
      </c>
      <c r="G39" s="17" t="inlineStr">
        <is>
          <t>1–2s</t>
        </is>
      </c>
      <c r="H39" s="17" t="inlineStr">
        <is>
          <t>是</t>
        </is>
      </c>
      <c r="I39" s="17" t="n">
        <v>2</v>
      </c>
      <c r="J39" s="17" t="inlineStr">
        <is>
          <t>P2</t>
        </is>
      </c>
      <c r="K39" s="17" t="inlineStr">
        <is>
          <t>S3 偏电子，S4 偏自然，各一个</t>
        </is>
      </c>
    </row>
    <row r="40">
      <c r="A40" s="17" t="inlineStr">
        <is>
          <t>SFX_S3_MARK</t>
        </is>
      </c>
      <c r="B40" s="17" t="inlineStr">
        <is>
          <t>S3</t>
        </is>
      </c>
      <c r="C40" s="17" t="inlineStr">
        <is>
          <t>交互</t>
        </is>
      </c>
      <c r="D40" s="17" t="inlineStr">
        <is>
          <t>标记虫子</t>
        </is>
      </c>
      <c r="E40" s="17" t="inlineStr">
        <is>
          <t>左键标记一个虫子节点</t>
        </is>
      </c>
      <c r="F40" s="17" t="inlineStr">
        <is>
          <t>锁定 / 标记音</t>
        </is>
      </c>
      <c r="G40" s="17" t="inlineStr">
        <is>
          <t>0.3s</t>
        </is>
      </c>
      <c r="H40" s="17" t="inlineStr">
        <is>
          <t>否</t>
        </is>
      </c>
      <c r="I40" s="17" t="n">
        <v>1</v>
      </c>
      <c r="J40" s="17" t="inlineStr">
        <is>
          <t>P0</t>
        </is>
      </c>
      <c r="K40" s="17" t="inlineStr"/>
    </row>
    <row r="41">
      <c r="A41" s="17" t="inlineStr">
        <is>
          <t>SFX_S3_MARK_WRONG</t>
        </is>
      </c>
      <c r="B41" s="17" t="inlineStr">
        <is>
          <t>S3</t>
        </is>
      </c>
      <c r="C41" s="17" t="inlineStr">
        <is>
          <t>交互</t>
        </is>
      </c>
      <c r="D41" s="17" t="inlineStr">
        <is>
          <t>点到正常节点</t>
        </is>
      </c>
      <c r="E41" s="17" t="inlineStr">
        <is>
          <t>左键点了非虫子节点</t>
        </is>
      </c>
      <c r="F41" s="17" t="inlineStr">
        <is>
          <t>中性的轻提示（不是惩罚）</t>
        </is>
      </c>
      <c r="G41" s="17" t="inlineStr">
        <is>
          <t>0.2s</t>
        </is>
      </c>
      <c r="H41" s="17" t="inlineStr">
        <is>
          <t>否</t>
        </is>
      </c>
      <c r="I41" s="17" t="n">
        <v>1</v>
      </c>
      <c r="J41" s="17" t="inlineStr">
        <is>
          <t>P2</t>
        </is>
      </c>
      <c r="K41" s="17" t="inlineStr">
        <is>
          <t>看玩法是否需要</t>
        </is>
      </c>
    </row>
    <row r="42">
      <c r="A42" s="17" t="inlineStr">
        <is>
          <t>SFX_S3_ALL_FOUND</t>
        </is>
      </c>
      <c r="B42" s="17" t="inlineStr">
        <is>
          <t>S3</t>
        </is>
      </c>
      <c r="C42" s="17" t="inlineStr">
        <is>
          <t>反馈</t>
        </is>
      </c>
      <c r="D42" s="17" t="inlineStr">
        <is>
          <t>全部标记</t>
        </is>
      </c>
      <c r="E42" s="17" t="inlineStr">
        <is>
          <t>S3_007</t>
        </is>
      </c>
      <c r="F42" s="17" t="inlineStr">
        <is>
          <t>完成提示</t>
        </is>
      </c>
      <c r="G42" s="17" t="inlineStr">
        <is>
          <t>1s</t>
        </is>
      </c>
      <c r="H42" s="17" t="inlineStr">
        <is>
          <t>否</t>
        </is>
      </c>
      <c r="I42" s="17" t="n">
        <v>1</v>
      </c>
      <c r="J42" s="17" t="inlineStr">
        <is>
          <t>P1</t>
        </is>
      </c>
      <c r="K42" s="17" t="inlineStr"/>
    </row>
    <row r="43">
      <c r="A43" s="19" t="inlineStr">
        <is>
          <t>SFX_S4_REBUILD</t>
        </is>
      </c>
      <c r="B43" s="19" t="inlineStr">
        <is>
          <t>S4</t>
        </is>
      </c>
      <c r="C43" s="19" t="inlineStr">
        <is>
          <t>演出</t>
        </is>
      </c>
      <c r="D43" s="19" t="inlineStr">
        <is>
          <t>重建控制器 / 触觉恢复</t>
        </is>
      </c>
      <c r="E43" s="19" t="inlineStr">
        <is>
          <t>S4_001 – S4_003</t>
        </is>
      </c>
      <c r="F43" s="19" t="inlineStr">
        <is>
          <t>机械装置启动、有实体感的电子音</t>
        </is>
      </c>
      <c r="G43" s="19" t="inlineStr">
        <is>
          <t>1.5s</t>
        </is>
      </c>
      <c r="H43" s="19" t="inlineStr">
        <is>
          <t>否</t>
        </is>
      </c>
      <c r="I43" s="19" t="n">
        <v>1</v>
      </c>
      <c r="J43" s="19" t="inlineStr">
        <is>
          <t>P1</t>
        </is>
      </c>
      <c r="K43" s="19" t="inlineStr"/>
    </row>
    <row r="44">
      <c r="A44" s="19" t="inlineStr">
        <is>
          <t>SFX_BUG_CRAWL</t>
        </is>
      </c>
      <c r="B44" s="19" t="inlineStr">
        <is>
          <t>S4</t>
        </is>
      </c>
      <c r="C44" s="19" t="inlineStr">
        <is>
          <t>环境</t>
        </is>
      </c>
      <c r="D44" s="19" t="inlineStr">
        <is>
          <t>虫子蠕动</t>
        </is>
      </c>
      <c r="E44" s="19" t="inlineStr">
        <is>
          <t>3 只虫子在叶背（3D 声源）</t>
        </is>
      </c>
      <c r="F44" s="19" t="inlineStr">
        <is>
          <t>极细小的窸窣 / 蠕动声</t>
        </is>
      </c>
      <c r="G44" s="19" t="inlineStr">
        <is>
          <t>2s</t>
        </is>
      </c>
      <c r="H44" s="19" t="inlineStr">
        <is>
          <t>是</t>
        </is>
      </c>
      <c r="I44" s="19" t="n">
        <v>1</v>
      </c>
      <c r="J44" s="19" t="inlineStr">
        <is>
          <t>P2</t>
        </is>
      </c>
      <c r="K44" s="19" t="inlineStr">
        <is>
          <t>3D 点声源，帮玩家找虫子</t>
        </is>
      </c>
    </row>
    <row r="45">
      <c r="A45" s="19" t="inlineStr">
        <is>
          <t>SFX_S4_REMOVE_BUG</t>
        </is>
      </c>
      <c r="B45" s="19" t="inlineStr">
        <is>
          <t>S4</t>
        </is>
      </c>
      <c r="C45" s="19" t="inlineStr">
        <is>
          <t>交互</t>
        </is>
      </c>
      <c r="D45" s="19" t="inlineStr">
        <is>
          <t>摘除虫子</t>
        </is>
      </c>
      <c r="E45" s="19" t="inlineStr">
        <is>
          <t>点击摘除一只虫子</t>
        </is>
      </c>
      <c r="F45" s="19" t="inlineStr">
        <is>
          <t>有触感的拨开 / 轻弹，带叶片摩擦</t>
        </is>
      </c>
      <c r="G45" s="19" t="inlineStr">
        <is>
          <t>0.3–0.5s</t>
        </is>
      </c>
      <c r="H45" s="19" t="inlineStr">
        <is>
          <t>否</t>
        </is>
      </c>
      <c r="I45" s="19" t="n">
        <v>3</v>
      </c>
      <c r="J45" s="19" t="inlineStr">
        <is>
          <t>P0</t>
        </is>
      </c>
      <c r="K45" s="19" t="inlineStr"/>
    </row>
    <row r="46">
      <c r="A46" s="19" t="inlineStr">
        <is>
          <t>SFX_S4_REAL_UP</t>
        </is>
      </c>
      <c r="B46" s="19" t="inlineStr">
        <is>
          <t>S4</t>
        </is>
      </c>
      <c r="C46" s="19" t="inlineStr">
        <is>
          <t>反馈</t>
        </is>
      </c>
      <c r="D46" s="19" t="inlineStr">
        <is>
          <t>写实度提高一档</t>
        </is>
      </c>
      <c r="E46" s="19" t="inlineStr">
        <is>
          <t>每摘一只（共 3 档）</t>
        </is>
      </c>
      <c r="F46" s="19" t="inlineStr">
        <is>
          <t>由电子音向自然音过渡，第 1→3 档越来越自然</t>
        </is>
      </c>
      <c r="G46" s="19" t="inlineStr">
        <is>
          <t>1s</t>
        </is>
      </c>
      <c r="H46" s="19" t="inlineStr">
        <is>
          <t>否</t>
        </is>
      </c>
      <c r="I46" s="19" t="n">
        <v>3</v>
      </c>
      <c r="J46" s="19" t="inlineStr">
        <is>
          <t>P0</t>
        </is>
      </c>
      <c r="K46" s="19" t="inlineStr">
        <is>
          <t>3 个文件对应 3 档</t>
        </is>
      </c>
    </row>
    <row r="47">
      <c r="A47" s="19" t="inlineStr">
        <is>
          <t>SFX_S4_TO_REAL</t>
        </is>
      </c>
      <c r="B47" s="19" t="inlineStr">
        <is>
          <t>S4</t>
        </is>
      </c>
      <c r="C47" s="19" t="inlineStr">
        <is>
          <t>转场</t>
        </is>
      </c>
      <c r="D47" s="19" t="inlineStr">
        <is>
          <t>植株彻底还原</t>
        </is>
      </c>
      <c r="E47" s="19" t="inlineStr">
        <is>
          <t>S4_008 植株换成写实模型</t>
        </is>
      </c>
      <c r="F47" s="19" t="inlineStr">
        <is>
          <t>电子声完全退去，露出真实环境声（配合 AMB_BALCONY 淡入）</t>
        </is>
      </c>
      <c r="G47" s="19" t="inlineStr">
        <is>
          <t>2–3s</t>
        </is>
      </c>
      <c r="H47" s="19" t="inlineStr">
        <is>
          <t>否</t>
        </is>
      </c>
      <c r="I47" s="19" t="n">
        <v>1</v>
      </c>
      <c r="J47" s="19" t="inlineStr">
        <is>
          <t>P0</t>
        </is>
      </c>
      <c r="K47" s="19" t="inlineStr">
        <is>
          <t>全游戏的情绪转折点</t>
        </is>
      </c>
    </row>
    <row r="48">
      <c r="A48" s="21" t="inlineStr">
        <is>
          <t>SFX_AGENT_SHUTDOWN</t>
        </is>
      </c>
      <c r="B48" s="21" t="inlineStr">
        <is>
          <t>PICK</t>
        </is>
      </c>
      <c r="C48" s="21" t="inlineStr">
        <is>
          <t>演出</t>
        </is>
      </c>
      <c r="D48" s="21" t="inlineStr">
        <is>
          <t>Agent 退出</t>
        </is>
      </c>
      <c r="E48" s="21" t="inlineStr">
        <is>
          <t>PICK_001 – 002 义体控制权回收</t>
        </is>
      </c>
      <c r="F48" s="21" t="inlineStr">
        <is>
          <t>系统关机 / 断电的下行音</t>
        </is>
      </c>
      <c r="G48" s="21" t="inlineStr">
        <is>
          <t>1.5s</t>
        </is>
      </c>
      <c r="H48" s="21" t="inlineStr">
        <is>
          <t>否</t>
        </is>
      </c>
      <c r="I48" s="21" t="n">
        <v>1</v>
      </c>
      <c r="J48" s="21" t="inlineStr">
        <is>
          <t>P1</t>
        </is>
      </c>
      <c r="K48" s="21" t="inlineStr">
        <is>
          <t>Agent 最后一次出声</t>
        </is>
      </c>
    </row>
    <row r="49">
      <c r="A49" s="21" t="inlineStr">
        <is>
          <t>SFX_FOOTSTEP</t>
        </is>
      </c>
      <c r="B49" s="21" t="inlineStr">
        <is>
          <t>PICK</t>
        </is>
      </c>
      <c r="C49" s="21" t="inlineStr">
        <is>
          <t>角色</t>
        </is>
      </c>
      <c r="D49" s="21" t="inlineStr">
        <is>
          <t>脚步</t>
        </is>
      </c>
      <c r="E49" s="21" t="inlineStr">
        <is>
          <t>WASD 行走（约 2 m/s）</t>
        </is>
      </c>
      <c r="F49" s="21" t="inlineStr">
        <is>
          <t>阳台地面（瓷砖或木地板），赤脚或拖鞋</t>
        </is>
      </c>
      <c r="G49" s="21" t="inlineStr">
        <is>
          <t>0.3s</t>
        </is>
      </c>
      <c r="H49" s="21" t="inlineStr">
        <is>
          <t>否</t>
        </is>
      </c>
      <c r="I49" s="21" t="n">
        <v>6</v>
      </c>
      <c r="J49" s="21" t="inlineStr">
        <is>
          <t>P1</t>
        </is>
      </c>
      <c r="K49" s="21" t="inlineStr">
        <is>
          <t>6 个变体随机</t>
        </is>
      </c>
    </row>
    <row r="50">
      <c r="A50" s="21" t="inlineStr">
        <is>
          <t>SFX_CROUCH</t>
        </is>
      </c>
      <c r="B50" s="21" t="inlineStr">
        <is>
          <t>PICK</t>
        </is>
      </c>
      <c r="C50" s="21" t="inlineStr">
        <is>
          <t>角色</t>
        </is>
      </c>
      <c r="D50" s="21" t="inlineStr">
        <is>
          <t>蹲下 / 站起</t>
        </is>
      </c>
      <c r="E50" s="21" t="inlineStr">
        <is>
          <t>按 C / Ctrl</t>
        </is>
      </c>
      <c r="F50" s="21" t="inlineStr">
        <is>
          <t>衣物摩擦 + 轻微身体动作</t>
        </is>
      </c>
      <c r="G50" s="21" t="inlineStr">
        <is>
          <t>0.4s</t>
        </is>
      </c>
      <c r="H50" s="21" t="inlineStr">
        <is>
          <t>否</t>
        </is>
      </c>
      <c r="I50" s="21" t="n">
        <v>2</v>
      </c>
      <c r="J50" s="21" t="inlineStr">
        <is>
          <t>P2</t>
        </is>
      </c>
      <c r="K50" s="21" t="inlineStr">
        <is>
          <t>蹲下、站起各一个</t>
        </is>
      </c>
    </row>
    <row r="51">
      <c r="A51" s="21" t="inlineStr">
        <is>
          <t>SFX_FRUIT_HOVER</t>
        </is>
      </c>
      <c r="B51" s="21" t="inlineStr">
        <is>
          <t>PICK</t>
        </is>
      </c>
      <c r="C51" s="21" t="inlineStr">
        <is>
          <t>交互</t>
        </is>
      </c>
      <c r="D51" s="21" t="inlineStr">
        <is>
          <t>对准果实</t>
        </is>
      </c>
      <c r="E51" s="21" t="inlineStr">
        <is>
          <t>准星悬停到可摘的果实</t>
        </is>
      </c>
      <c r="F51" s="21" t="inlineStr">
        <is>
          <t>温暖、自然的轻提示（不要电子音）</t>
        </is>
      </c>
      <c r="G51" s="21" t="inlineStr">
        <is>
          <t>0.2s</t>
        </is>
      </c>
      <c r="H51" s="21" t="inlineStr">
        <is>
          <t>否</t>
        </is>
      </c>
      <c r="I51" s="21" t="n">
        <v>1</v>
      </c>
      <c r="J51" s="21" t="inlineStr">
        <is>
          <t>P2</t>
        </is>
      </c>
      <c r="K51" s="21" t="inlineStr"/>
    </row>
    <row r="52">
      <c r="A52" s="21" t="inlineStr">
        <is>
          <t>SFX_HAND_REACH</t>
        </is>
      </c>
      <c r="B52" s="21" t="inlineStr">
        <is>
          <t>PICK</t>
        </is>
      </c>
      <c r="C52" s="21" t="inlineStr">
        <is>
          <t>交互</t>
        </is>
      </c>
      <c r="D52" s="21" t="inlineStr">
        <is>
          <t>伸手</t>
        </is>
      </c>
      <c r="E52" s="21" t="inlineStr">
        <is>
          <t>左键后手臂伸向果实</t>
        </is>
      </c>
      <c r="F52" s="21" t="inlineStr">
        <is>
          <t>衣袖摩擦</t>
        </is>
      </c>
      <c r="G52" s="21" t="inlineStr">
        <is>
          <t>0.3s</t>
        </is>
      </c>
      <c r="H52" s="21" t="inlineStr">
        <is>
          <t>否</t>
        </is>
      </c>
      <c r="I52" s="21" t="n">
        <v>1</v>
      </c>
      <c r="J52" s="21" t="inlineStr">
        <is>
          <t>P2</t>
        </is>
      </c>
      <c r="K52" s="21" t="inlineStr"/>
    </row>
    <row r="53">
      <c r="A53" s="21" t="inlineStr">
        <is>
          <t>SFX_PICK_GRAB</t>
        </is>
      </c>
      <c r="B53" s="21" t="inlineStr">
        <is>
          <t>PICK</t>
        </is>
      </c>
      <c r="C53" s="21" t="inlineStr">
        <is>
          <t>交互</t>
        </is>
      </c>
      <c r="D53" s="21" t="inlineStr">
        <is>
          <t>抓住果实</t>
        </is>
      </c>
      <c r="E53" s="21" t="inlineStr">
        <is>
          <t>手碰到果实</t>
        </is>
      </c>
      <c r="F53" s="21" t="inlineStr">
        <is>
          <t>叶片 / 果实被握住的摩擦</t>
        </is>
      </c>
      <c r="G53" s="21" t="inlineStr">
        <is>
          <t>0.3s</t>
        </is>
      </c>
      <c r="H53" s="21" t="inlineStr">
        <is>
          <t>否</t>
        </is>
      </c>
      <c r="I53" s="21" t="n">
        <v>1</v>
      </c>
      <c r="J53" s="21" t="inlineStr">
        <is>
          <t>P1</t>
        </is>
      </c>
      <c r="K53" s="21" t="inlineStr"/>
    </row>
    <row r="54">
      <c r="A54" s="21" t="inlineStr">
        <is>
          <t>SFX_PICK_SNAP</t>
        </is>
      </c>
      <c r="B54" s="21" t="inlineStr">
        <is>
          <t>PICK</t>
        </is>
      </c>
      <c r="C54" s="21" t="inlineStr">
        <is>
          <t>交互</t>
        </is>
      </c>
      <c r="D54" s="21" t="inlineStr">
        <is>
          <t>摘下果实</t>
        </is>
      </c>
      <c r="E54" s="21" t="inlineStr">
        <is>
          <t>果实从植株上摘下</t>
        </is>
      </c>
      <c r="F54" s="21" t="inlineStr">
        <is>
          <t>果柄撕裂 + 清脆的“啪”，叶子晃动</t>
        </is>
      </c>
      <c r="G54" s="21" t="inlineStr">
        <is>
          <t>0.5s</t>
        </is>
      </c>
      <c r="H54" s="21" t="inlineStr">
        <is>
          <t>否</t>
        </is>
      </c>
      <c r="I54" s="21" t="n">
        <v>1</v>
      </c>
      <c r="J54" s="21" t="inlineStr">
        <is>
          <t>P0</t>
        </is>
      </c>
      <c r="K54" s="21" t="inlineStr">
        <is>
          <t>设计文档里提过“摘彩椒的撕裂声”</t>
        </is>
      </c>
    </row>
    <row r="55">
      <c r="A55" s="21" t="inlineStr">
        <is>
          <t>SFX_RAISE_MOUTH</t>
        </is>
      </c>
      <c r="B55" s="21" t="inlineStr">
        <is>
          <t>PICK</t>
        </is>
      </c>
      <c r="C55" s="21" t="inlineStr">
        <is>
          <t>交互</t>
        </is>
      </c>
      <c r="D55" s="21" t="inlineStr">
        <is>
          <t>举到嘴边</t>
        </is>
      </c>
      <c r="E55" s="21" t="inlineStr">
        <is>
          <t>第一次按 E</t>
        </is>
      </c>
      <c r="F55" s="21" t="inlineStr">
        <is>
          <t>手臂抬起的衣物声</t>
        </is>
      </c>
      <c r="G55" s="21" t="inlineStr">
        <is>
          <t>0.4s</t>
        </is>
      </c>
      <c r="H55" s="21" t="inlineStr">
        <is>
          <t>否</t>
        </is>
      </c>
      <c r="I55" s="21" t="n">
        <v>1</v>
      </c>
      <c r="J55" s="21" t="inlineStr">
        <is>
          <t>P2</t>
        </is>
      </c>
      <c r="K55" s="21" t="inlineStr"/>
    </row>
    <row r="56">
      <c r="A56" s="21" t="inlineStr">
        <is>
          <t>SFX_BITE</t>
        </is>
      </c>
      <c r="B56" s="21" t="inlineStr">
        <is>
          <t>PICK</t>
        </is>
      </c>
      <c r="C56" s="21" t="inlineStr">
        <is>
          <t>交互</t>
        </is>
      </c>
      <c r="D56" s="21" t="inlineStr">
        <is>
          <t>咬一口</t>
        </is>
      </c>
      <c r="E56" s="21" t="inlineStr">
        <is>
          <t>每次按 E 咬一口（共 3 口）</t>
        </is>
      </c>
      <c r="F56" s="21" t="inlineStr">
        <is>
          <t>咬彩椒的清脆声 + 汁水</t>
        </is>
      </c>
      <c r="G56" s="21" t="inlineStr">
        <is>
          <t>0.5s</t>
        </is>
      </c>
      <c r="H56" s="21" t="inlineStr">
        <is>
          <t>否</t>
        </is>
      </c>
      <c r="I56" s="21" t="n">
        <v>3</v>
      </c>
      <c r="J56" s="21" t="inlineStr">
        <is>
          <t>P0</t>
        </is>
      </c>
      <c r="K56" s="21" t="inlineStr">
        <is>
          <t>3 口各一个，第 3 口可以更饱满</t>
        </is>
      </c>
    </row>
    <row r="57">
      <c r="A57" s="21" t="inlineStr">
        <is>
          <t>SFX_CHEW</t>
        </is>
      </c>
      <c r="B57" s="21" t="inlineStr">
        <is>
          <t>PICK</t>
        </is>
      </c>
      <c r="C57" s="21" t="inlineStr">
        <is>
          <t>交互</t>
        </is>
      </c>
      <c r="D57" s="21" t="inlineStr">
        <is>
          <t>咀嚼</t>
        </is>
      </c>
      <c r="E57" s="21" t="inlineStr">
        <is>
          <t>每口之后</t>
        </is>
      </c>
      <c r="F57" s="21" t="inlineStr">
        <is>
          <t>短咀嚼</t>
        </is>
      </c>
      <c r="G57" s="21" t="inlineStr">
        <is>
          <t>1s</t>
        </is>
      </c>
      <c r="H57" s="21" t="inlineStr">
        <is>
          <t>否</t>
        </is>
      </c>
      <c r="I57" s="21" t="n">
        <v>2</v>
      </c>
      <c r="J57" s="21" t="inlineStr">
        <is>
          <t>P2</t>
        </is>
      </c>
      <c r="K57" s="21" t="inlineStr"/>
    </row>
    <row r="58">
      <c r="A58" s="21" t="inlineStr">
        <is>
          <t>SFX_FRUIT_GHOST</t>
        </is>
      </c>
      <c r="B58" s="21" t="inlineStr">
        <is>
          <t>PICK</t>
        </is>
      </c>
      <c r="C58" s="21" t="inlineStr">
        <is>
          <t>反馈</t>
        </is>
      </c>
      <c r="D58" s="21" t="inlineStr">
        <is>
          <t>果实变虚幻</t>
        </is>
      </c>
      <c r="E58" s="21" t="inlineStr">
        <is>
          <t>每咬一口，果实发光、镂空增加</t>
        </is>
      </c>
      <c r="F58" s="21" t="inlineStr">
        <is>
          <t>柔和的闪光 / 数据化音，接在咬的声音后</t>
        </is>
      </c>
      <c r="G58" s="21" t="inlineStr">
        <is>
          <t>0.8s</t>
        </is>
      </c>
      <c r="H58" s="21" t="inlineStr">
        <is>
          <t>否</t>
        </is>
      </c>
      <c r="I58" s="21" t="n">
        <v>3</v>
      </c>
      <c r="J58" s="21" t="inlineStr">
        <is>
          <t>P1</t>
        </is>
      </c>
      <c r="K58" s="21" t="inlineStr"/>
    </row>
    <row r="59">
      <c r="A59" s="21" t="inlineStr">
        <is>
          <t>SFX_FRUIT_DISSOLVE</t>
        </is>
      </c>
      <c r="B59" s="21" t="inlineStr">
        <is>
          <t>PICK</t>
        </is>
      </c>
      <c r="C59" s="21" t="inlineStr">
        <is>
          <t>反馈</t>
        </is>
      </c>
      <c r="D59" s="21" t="inlineStr">
        <is>
          <t>果实消散</t>
        </is>
      </c>
      <c r="E59" s="21" t="inlineStr">
        <is>
          <t>最后一口，碎成节点碎片飘散</t>
        </is>
      </c>
      <c r="F59" s="21" t="inlineStr">
        <is>
          <t>粒子飘散，渐弱</t>
        </is>
      </c>
      <c r="G59" s="21" t="inlineStr">
        <is>
          <t>2s</t>
        </is>
      </c>
      <c r="H59" s="21" t="inlineStr">
        <is>
          <t>否</t>
        </is>
      </c>
      <c r="I59" s="21" t="n">
        <v>1</v>
      </c>
      <c r="J59" s="21" t="inlineStr">
        <is>
          <t>P1</t>
        </is>
      </c>
      <c r="K59" s="21" t="inlineStr">
        <is>
          <t>之后接 Outro</t>
        </is>
      </c>
    </row>
  </sheetData>
  <autoFilter ref="A1:K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8" customWidth="1" min="3" max="3"/>
    <col width="22" customWidth="1" min="4" max="4"/>
    <col width="40" customWidth="1" min="5" max="5"/>
    <col width="10" customWidth="1" min="6" max="6"/>
    <col width="6" customWidth="1" min="7" max="7"/>
    <col width="28" customWidth="1" min="8" max="8"/>
    <col width="7" customWidth="1" min="9" max="9"/>
    <col width="36" customWidth="1" min="10" max="10"/>
  </cols>
  <sheetData>
    <row r="1">
      <c r="A1" s="6" t="inlineStr">
        <is>
          <t>编号</t>
        </is>
      </c>
      <c r="B1" s="6" t="inlineStr">
        <is>
          <t>类型</t>
        </is>
      </c>
      <c r="C1" s="6" t="inlineStr">
        <is>
          <t>段落</t>
        </is>
      </c>
      <c r="D1" s="6" t="inlineStr">
        <is>
          <t>用途</t>
        </is>
      </c>
      <c r="E1" s="6" t="inlineStr">
        <is>
          <t>情绪 / 风格</t>
        </is>
      </c>
      <c r="F1" s="6" t="inlineStr">
        <is>
          <t>参考时长</t>
        </is>
      </c>
      <c r="G1" s="6" t="inlineStr">
        <is>
          <t>循环</t>
        </is>
      </c>
      <c r="H1" s="6" t="inlineStr">
        <is>
          <t>规格</t>
        </is>
      </c>
      <c r="I1" s="6" t="inlineStr">
        <is>
          <t>优先级</t>
        </is>
      </c>
      <c r="J1" s="6" t="inlineStr">
        <is>
          <t>备注</t>
        </is>
      </c>
    </row>
    <row r="2">
      <c r="A2" s="7" t="inlineStr">
        <is>
          <t>AMB_VOID</t>
        </is>
      </c>
      <c r="B2" s="7" t="inlineStr">
        <is>
          <t>环境音</t>
        </is>
      </c>
      <c r="C2" s="7" t="inlineStr">
        <is>
          <t>INTRO</t>
        </is>
      </c>
      <c r="D2" s="7" t="inlineStr">
        <is>
          <t>黑屏时的底噪</t>
        </is>
      </c>
      <c r="E2" s="7" t="inlineStr">
        <is>
          <t>近乎无声的低频嗡鸣，像意识深处</t>
        </is>
      </c>
      <c r="F2" s="7" t="inlineStr">
        <is>
          <t>30s</t>
        </is>
      </c>
      <c r="G2" s="7" t="inlineStr">
        <is>
          <t>是</t>
        </is>
      </c>
      <c r="H2" s="7" t="inlineStr">
        <is>
          <t>OGG/WAV 48kHz 立体声，无缝循环</t>
        </is>
      </c>
      <c r="I2" s="7" t="inlineStr">
        <is>
          <t>P1</t>
        </is>
      </c>
      <c r="J2" s="7" t="inlineStr">
        <is>
          <t>开场台词全在黑屏下播，底噪很重要</t>
        </is>
      </c>
    </row>
    <row r="3">
      <c r="A3" s="11" t="inlineStr">
        <is>
          <t>BGM_DIGITAL</t>
        </is>
      </c>
      <c r="B3" s="11" t="inlineStr">
        <is>
          <t>音乐</t>
        </is>
      </c>
      <c r="C3" s="11" t="inlineStr">
        <is>
          <t>TUT</t>
        </is>
      </c>
      <c r="D3" s="11" t="inlineStr">
        <is>
          <t>数字空间（TUT – S1）</t>
        </is>
      </c>
      <c r="E3" s="11" t="inlineStr">
        <is>
          <t>冷、简约、极少元素的电子氛围</t>
        </is>
      </c>
      <c r="F3" s="11" t="inlineStr">
        <is>
          <t>1–2min</t>
        </is>
      </c>
      <c r="G3" s="11" t="inlineStr">
        <is>
          <t>是</t>
        </is>
      </c>
      <c r="H3" s="11" t="inlineStr">
        <is>
          <t>同上</t>
        </is>
      </c>
      <c r="I3" s="11" t="inlineStr">
        <is>
          <t>P0</t>
        </is>
      </c>
      <c r="J3" s="11" t="inlineStr">
        <is>
          <t>建议后面几首用同一个主题旋律做分层</t>
        </is>
      </c>
    </row>
    <row r="4">
      <c r="A4" s="15" t="inlineStr">
        <is>
          <t>BGM_CIRCUIT</t>
        </is>
      </c>
      <c r="B4" s="15" t="inlineStr">
        <is>
          <t>音乐</t>
        </is>
      </c>
      <c r="C4" s="15" t="inlineStr">
        <is>
          <t>S2</t>
        </is>
      </c>
      <c r="D4" s="15" t="inlineStr">
        <is>
          <t>关联 / 连线</t>
        </is>
      </c>
      <c r="E4" s="15" t="inlineStr">
        <is>
          <t>在 DIGITAL 基础上加入脉冲节奏</t>
        </is>
      </c>
      <c r="F4" s="15" t="inlineStr">
        <is>
          <t>1–2min</t>
        </is>
      </c>
      <c r="G4" s="15" t="inlineStr">
        <is>
          <t>是</t>
        </is>
      </c>
      <c r="H4" s="15" t="inlineStr">
        <is>
          <t>同上</t>
        </is>
      </c>
      <c r="I4" s="15" t="inlineStr">
        <is>
          <t>P1</t>
        </is>
      </c>
      <c r="J4" s="15" t="inlineStr">
        <is>
          <t>可以是 DIGITAL 的加层版本</t>
        </is>
      </c>
    </row>
    <row r="5">
      <c r="A5" s="17" t="inlineStr">
        <is>
          <t>BGM_COLOR</t>
        </is>
      </c>
      <c r="B5" s="17" t="inlineStr">
        <is>
          <t>音乐</t>
        </is>
      </c>
      <c r="C5" s="17" t="inlineStr">
        <is>
          <t>S3</t>
        </is>
      </c>
      <c r="D5" s="17" t="inlineStr">
        <is>
          <t>色彩和空间恢复</t>
        </is>
      </c>
      <c r="E5" s="17" t="inlineStr">
        <is>
          <t>声场更宽，开始出现温暖的音色</t>
        </is>
      </c>
      <c r="F5" s="17" t="inlineStr">
        <is>
          <t>1–2min</t>
        </is>
      </c>
      <c r="G5" s="17" t="inlineStr">
        <is>
          <t>是</t>
        </is>
      </c>
      <c r="H5" s="17" t="inlineStr">
        <is>
          <t>同上</t>
        </is>
      </c>
      <c r="I5" s="17" t="inlineStr">
        <is>
          <t>P1</t>
        </is>
      </c>
      <c r="J5" s="17" t="inlineStr"/>
    </row>
    <row r="6">
      <c r="A6" s="19" t="inlineStr">
        <is>
          <t>BGM_AWAKEN</t>
        </is>
      </c>
      <c r="B6" s="19" t="inlineStr">
        <is>
          <t>音乐</t>
        </is>
      </c>
      <c r="C6" s="19" t="inlineStr">
        <is>
          <t>S4</t>
        </is>
      </c>
      <c r="D6" s="19" t="inlineStr">
        <is>
          <t>触觉恢复，逐步写实</t>
        </is>
      </c>
      <c r="E6" s="19" t="inlineStr">
        <is>
          <t>电子逐渐加入自然 / 原声乐器（钢琴、吉他、弦乐）</t>
        </is>
      </c>
      <c r="F6" s="19" t="inlineStr">
        <is>
          <t>1–2min</t>
        </is>
      </c>
      <c r="G6" s="19" t="inlineStr">
        <is>
          <t>是</t>
        </is>
      </c>
      <c r="H6" s="19" t="inlineStr">
        <is>
          <t>同上</t>
        </is>
      </c>
      <c r="I6" s="19" t="inlineStr">
        <is>
          <t>P0</t>
        </is>
      </c>
      <c r="J6" s="19" t="inlineStr">
        <is>
          <t>随写实度 3 档逐层加入乐器</t>
        </is>
      </c>
    </row>
    <row r="7">
      <c r="A7" s="11" t="inlineStr">
        <is>
          <t>AMB_DIGITAL</t>
        </is>
      </c>
      <c r="B7" s="11" t="inlineStr">
        <is>
          <t>环境音</t>
        </is>
      </c>
      <c r="C7" s="11" t="inlineStr">
        <is>
          <t>TUT</t>
        </is>
      </c>
      <c r="D7" s="11" t="inlineStr">
        <is>
          <t>数字空间环境（TUT – S3）</t>
        </is>
      </c>
      <c r="E7" s="11" t="inlineStr">
        <is>
          <t>极轻的电流、数据流</t>
        </is>
      </c>
      <c r="F7" s="11" t="inlineStr">
        <is>
          <t>30s–1min</t>
        </is>
      </c>
      <c r="G7" s="11" t="inlineStr">
        <is>
          <t>是</t>
        </is>
      </c>
      <c r="H7" s="11" t="inlineStr">
        <is>
          <t>同上</t>
        </is>
      </c>
      <c r="I7" s="11" t="inlineStr">
        <is>
          <t>P2</t>
        </is>
      </c>
      <c r="J7" s="11" t="inlineStr">
        <is>
          <t>可选</t>
        </is>
      </c>
    </row>
    <row r="8">
      <c r="A8" s="19" t="inlineStr">
        <is>
          <t>AMB_BALCONY</t>
        </is>
      </c>
      <c r="B8" s="19" t="inlineStr">
        <is>
          <t>环境音</t>
        </is>
      </c>
      <c r="C8" s="19" t="inlineStr">
        <is>
          <t>S4</t>
        </is>
      </c>
      <c r="D8" s="19" t="inlineStr">
        <is>
          <t>真实阳台（S4 后段 – PICK）</t>
        </is>
      </c>
      <c r="E8" s="19" t="inlineStr">
        <is>
          <t>风声、远处鸟鸣、树叶沙沙、远处城市</t>
        </is>
      </c>
      <c r="F8" s="19" t="inlineStr">
        <is>
          <t>1min</t>
        </is>
      </c>
      <c r="G8" s="19" t="inlineStr">
        <is>
          <t>是</t>
        </is>
      </c>
      <c r="H8" s="19" t="inlineStr">
        <is>
          <t>同上</t>
        </is>
      </c>
      <c r="I8" s="19" t="inlineStr">
        <is>
          <t>P0</t>
        </is>
      </c>
      <c r="J8" s="19" t="inlineStr">
        <is>
          <t>S4 写实度提高后淡入</t>
        </is>
      </c>
    </row>
    <row r="9">
      <c r="A9" s="21" t="inlineStr">
        <is>
          <t>BGM_PICK</t>
        </is>
      </c>
      <c r="B9" s="21" t="inlineStr">
        <is>
          <t>音乐</t>
        </is>
      </c>
      <c r="C9" s="21" t="inlineStr">
        <is>
          <t>PICK</t>
        </is>
      </c>
      <c r="D9" s="21" t="inlineStr">
        <is>
          <t>采摘彩椒</t>
        </is>
      </c>
      <c r="E9" s="21" t="inlineStr">
        <is>
          <t>温暖、明亮、留白多，不盖过环境音</t>
        </is>
      </c>
      <c r="F9" s="21" t="inlineStr">
        <is>
          <t>1min</t>
        </is>
      </c>
      <c r="G9" s="21" t="inlineStr">
        <is>
          <t>是</t>
        </is>
      </c>
      <c r="H9" s="21" t="inlineStr">
        <is>
          <t>同上</t>
        </is>
      </c>
      <c r="I9" s="21" t="inlineStr">
        <is>
          <t>P1</t>
        </is>
      </c>
      <c r="J9" s="21" t="inlineStr"/>
    </row>
    <row r="10">
      <c r="A10" s="23" t="inlineStr">
        <is>
          <t>STING_STAGE_CLEAR</t>
        </is>
      </c>
      <c r="B10" s="23" t="inlineStr">
        <is>
          <t>短音乐</t>
        </is>
      </c>
      <c r="C10" s="23" t="inlineStr">
        <is>
          <t>通用</t>
        </is>
      </c>
      <c r="D10" s="23" t="inlineStr">
        <is>
          <t>每关结束</t>
        </is>
      </c>
      <c r="E10" s="23" t="inlineStr">
        <is>
          <t>2–3s 短乐句，每关同旋律不同配器</t>
        </is>
      </c>
      <c r="F10" s="23" t="inlineStr">
        <is>
          <t>2–3s</t>
        </is>
      </c>
      <c r="G10" s="23" t="inlineStr">
        <is>
          <t>否</t>
        </is>
      </c>
      <c r="H10" s="23" t="inlineStr">
        <is>
          <t>同上</t>
        </is>
      </c>
      <c r="I10" s="23" t="inlineStr">
        <is>
          <t>P2</t>
        </is>
      </c>
      <c r="J10" s="23" t="inlineStr"/>
    </row>
  </sheetData>
  <autoFilter ref="A1:J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46" customWidth="1" min="4" max="4"/>
    <col width="62" customWidth="1" min="5" max="5"/>
    <col width="36" customWidth="1" min="6" max="6"/>
  </cols>
  <sheetData>
    <row r="1">
      <c r="A1" s="6" t="inlineStr">
        <is>
          <t>视频</t>
        </is>
      </c>
      <c r="B1" s="6" t="inlineStr">
        <is>
          <t>段落</t>
        </is>
      </c>
      <c r="C1" s="6" t="inlineStr">
        <is>
          <t>参考时长</t>
        </is>
      </c>
      <c r="D1" s="6" t="inlineStr">
        <is>
          <t>画面内容</t>
        </is>
      </c>
      <c r="E1" s="6" t="inlineStr">
        <is>
          <t>声音需求</t>
        </is>
      </c>
      <c r="F1" s="6" t="inlineStr">
        <is>
          <t>待确认</t>
        </is>
      </c>
    </row>
    <row r="2">
      <c r="A2" s="7" t="inlineStr">
        <is>
          <t>V_INTRO</t>
        </is>
      </c>
      <c r="B2" s="7" t="inlineStr">
        <is>
          <t>INTRO</t>
        </is>
      </c>
      <c r="C2" s="7" t="inlineStr">
        <is>
          <t>10–20s</t>
        </is>
      </c>
      <c r="D2" s="7" t="inlineStr">
        <is>
          <t>黑暗中有一道亮起的曙光，随着声音波动</t>
        </is>
      </c>
      <c r="E2" s="7" t="inlineStr">
        <is>
          <t>低频底噪 → 曙光亮起的上行音色；“声音波动”可以用亲切的声音的呼吸声</t>
        </is>
      </c>
      <c r="F2" s="7" t="inlineStr">
        <is>
          <t>声音波动是否就是“嗨，你醒了”的波形</t>
        </is>
      </c>
    </row>
    <row r="3">
      <c r="A3" s="21" t="inlineStr">
        <is>
          <t>V_TASTE</t>
        </is>
      </c>
      <c r="B3" s="21" t="inlineStr">
        <is>
          <t>PICK</t>
        </is>
      </c>
      <c r="C3" s="21" t="inlineStr">
        <is>
          <t>15–30s</t>
        </is>
      </c>
      <c r="D3" s="21" t="inlineStr">
        <is>
          <t>第一人称在阳台摘彩椒、端详、咬一口</t>
        </is>
      </c>
      <c r="E3" s="21" t="inlineStr">
        <is>
          <t>阳台环境、正午的耳鸣 / 眩晕感、咬彩椒</t>
        </is>
      </c>
      <c r="F3" s="21" t="inlineStr">
        <is>
          <t>台词表里已经没有品尝视频这段，是否还要做</t>
        </is>
      </c>
    </row>
    <row r="4">
      <c r="A4" s="7" t="inlineStr">
        <is>
          <t>V_OUTRO</t>
        </is>
      </c>
      <c r="B4" s="7" t="inlineStr">
        <is>
          <t>OUTRO</t>
        </is>
      </c>
      <c r="C4" s="7" t="inlineStr">
        <is>
          <t>60–120s</t>
        </is>
      </c>
      <c r="D4" s="7" t="inlineStr">
        <is>
          <t>回忆 → 办公室 → agent 接管 → 画面退化 → 医院 → 白光 → 快速回放 S1–S4 → 睁眼</t>
        </is>
      </c>
      <c r="E4" s="7" t="inlineStr">
        <is>
          <t>办公室（键盘、通知音堆叠）→ 通知越来越密、失真 → 数字退化噪声 → 医院心电监护 → 白光（全频渐强后静音）→ 回放（复用 S1–S4 关键音效）→ 睁眼（呼吸 + 阳台环境）；需要一首结尾配乐</t>
        </is>
      </c>
      <c r="F4" s="7" t="inlineStr">
        <is>
          <t>结尾配乐建议用游戏主题旋律的完整版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2026-10-09T22:13:33Z</dcterms:created>
  <dcterms:modified xsi:type="dcterms:W3CDTF">2026-10-16T05:50:52Z</dcterms:modified>
</cp:coreProperties>
</file>